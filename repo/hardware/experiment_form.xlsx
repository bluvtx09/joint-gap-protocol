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작성안내" sheetId="1" state="visible" r:id="rId3"/>
    <sheet name="1_기구제원" sheetId="2" state="visible" r:id="rId4"/>
    <sheet name="2_부호규약" sheetId="3" state="visible" r:id="rId5"/>
    <sheet name="3_강성조건" sheetId="4" state="visible" r:id="rId6"/>
    <sheet name="4_Phase0" sheetId="5" state="visible" r:id="rId7"/>
    <sheet name="5_성분실측" sheetId="6" state="visible" r:id="rId8"/>
    <sheet name="6_실험목록" sheetId="7" state="visible" r:id="rId9"/>
    <sheet name="7_로그컬럼규약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q_cmd </t>
        </r>
        <r>
          <rPr>
            <sz val="10"/>
            <rFont val="Noto Sans CJK SC"/>
            <family val="2"/>
          </rPr>
          <t xml:space="preserve">기록 주기가 이 연구에서 가장 자주 발생하는 데이터 손실 원인입니다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<sst xmlns="http://schemas.openxmlformats.org/spreadsheetml/2006/main" count="210" uniqueCount="177">
  <si>
    <r>
      <rPr>
        <b val="true"/>
        <sz val="14"/>
        <rFont val="Arial"/>
        <family val="0"/>
        <charset val="1"/>
      </rPr>
      <t xml:space="preserve">Sim-to-Real </t>
    </r>
    <r>
      <rPr>
        <b val="true"/>
        <sz val="14"/>
        <rFont val="Noto Sans CJK SC"/>
        <family val="2"/>
      </rPr>
      <t xml:space="preserve">갭 실험 — 데이터 제출 양식 </t>
    </r>
    <r>
      <rPr>
        <b val="true"/>
        <sz val="14"/>
        <rFont val="Arial"/>
        <family val="0"/>
        <charset val="1"/>
      </rPr>
      <t xml:space="preserve">v2</t>
    </r>
  </si>
  <si>
    <t xml:space="preserve">범례</t>
  </si>
  <si>
    <r>
      <rPr>
        <sz val="10"/>
        <rFont val="Noto Sans CJK SC"/>
        <family val="2"/>
      </rPr>
      <t xml:space="preserve">노란 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파란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직접 입력하는 칸</t>
    </r>
  </si>
  <si>
    <r>
      <rPr>
        <sz val="10"/>
        <rFont val="Noto Sans CJK SC"/>
        <family val="2"/>
      </rPr>
      <t xml:space="preserve">흰 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검은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수식이 자동 계산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건드리지 마세요</t>
    </r>
  </si>
  <si>
    <r>
      <rPr>
        <sz val="10"/>
        <rFont val="Noto Sans CJK SC"/>
        <family val="2"/>
      </rPr>
      <t xml:space="preserve">회색 기울임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작성 예시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 값을 넣을 때 지우세요</t>
    </r>
  </si>
  <si>
    <t xml:space="preserve">시트 구성</t>
  </si>
  <si>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기구제원 — 데이터에서 유도할 수 없는 물리 치수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가장 먼저 채우세요</t>
    </r>
  </si>
  <si>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부호규약 — 각도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토크의 부호 방향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여기가 어긋나면 모든 해석이 뒤집힙니다</t>
    </r>
  </si>
  <si>
    <r>
      <rPr>
        <sz val="10"/>
        <rFont val="Arial"/>
        <family val="0"/>
        <charset val="1"/>
      </rPr>
      <t xml:space="preserve">3_</t>
    </r>
    <r>
      <rPr>
        <sz val="10"/>
        <rFont val="Noto Sans CJK SC"/>
        <family val="2"/>
      </rPr>
      <t xml:space="preserve">강성조건 — 강성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수준의 계산값과 실측값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실측값이 분석의 기준입니다</t>
    </r>
  </si>
  <si>
    <r>
      <rPr>
        <sz val="10"/>
        <rFont val="Arial"/>
        <family val="0"/>
        <charset val="1"/>
      </rPr>
      <t xml:space="preserve">4_Phase0 — </t>
    </r>
    <r>
      <rPr>
        <sz val="10"/>
        <rFont val="Noto Sans CJK SC"/>
        <family val="2"/>
      </rPr>
      <t xml:space="preserve">측정계 신뢰성 검증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이후 모든 실험의 전제입니다</t>
    </r>
  </si>
  <si>
    <r>
      <rPr>
        <sz val="10"/>
        <rFont val="Arial"/>
        <family val="0"/>
        <charset val="1"/>
      </rPr>
      <t xml:space="preserve">5_</t>
    </r>
    <r>
      <rPr>
        <sz val="10"/>
        <rFont val="Noto Sans CJK SC"/>
        <family val="2"/>
      </rPr>
      <t xml:space="preserve">성분실측 — </t>
    </r>
    <r>
      <rPr>
        <sz val="10"/>
        <rFont val="Arial"/>
        <family val="0"/>
        <charset val="1"/>
      </rPr>
      <t xml:space="preserve">Phase 1</t>
    </r>
    <r>
      <rPr>
        <sz val="10"/>
        <rFont val="Noto Sans CJK SC"/>
        <family val="2"/>
      </rPr>
      <t xml:space="preserve">에서 격리 측정한 성분값</t>
    </r>
    <r>
      <rPr>
        <sz val="10"/>
        <rFont val="Arial"/>
        <family val="0"/>
        <charset val="1"/>
      </rPr>
      <t xml:space="preserve">. analyze_gap.py</t>
    </r>
    <r>
      <rPr>
        <sz val="10"/>
        <rFont val="Noto Sans CJK SC"/>
        <family val="2"/>
      </rPr>
      <t xml:space="preserve">의 입력 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</si>
  <si>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6_</t>
    </r>
    <r>
      <rPr>
        <sz val="10"/>
        <rFont val="Noto Sans CJK SC"/>
        <family val="2"/>
      </rPr>
      <t xml:space="preserve">실험목록 — 수행한 모든 실험 목록</t>
    </r>
    <r>
      <rPr>
        <sz val="10"/>
        <rFont val="Arial"/>
        <family val="0"/>
        <charset val="1"/>
      </rPr>
      <t xml:space="preserve">. CSV </t>
    </r>
    <r>
      <rPr>
        <sz val="10"/>
        <rFont val="Noto Sans CJK SC"/>
        <family val="2"/>
      </rPr>
      <t xml:space="preserve">파일과 </t>
    </r>
    <r>
      <rPr>
        <sz val="10"/>
        <rFont val="Arial"/>
        <family val="0"/>
        <charset val="1"/>
      </rPr>
      <t xml:space="preserve">1:1 </t>
    </r>
    <r>
      <rPr>
        <sz val="10"/>
        <rFont val="Noto Sans CJK SC"/>
        <family val="2"/>
      </rPr>
      <t xml:space="preserve">대응</t>
    </r>
  </si>
  <si>
    <r>
      <rPr>
        <sz val="10"/>
        <rFont val="Arial"/>
        <family val="0"/>
        <charset val="1"/>
      </rPr>
      <t xml:space="preserve">7_</t>
    </r>
    <r>
      <rPr>
        <sz val="10"/>
        <rFont val="Noto Sans CJK SC"/>
        <family val="2"/>
      </rPr>
      <t xml:space="preserve">로그컬럼규약 — 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가 가져야 할 컬럼 정의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읽기 전용 참고</t>
    </r>
  </si>
  <si>
    <r>
      <rPr>
        <b val="true"/>
        <sz val="11"/>
        <rFont val="Noto Sans CJK SC"/>
        <family val="2"/>
      </rPr>
      <t xml:space="preserve">타협하면 안 되는 것 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가지</t>
    </r>
  </si>
  <si>
    <r>
      <rPr>
        <b val="true"/>
        <sz val="10"/>
        <color rgb="FFC00000"/>
        <rFont val="Arial"/>
        <family val="0"/>
        <charset val="1"/>
      </rPr>
      <t xml:space="preserve">1. q_cmd</t>
    </r>
    <r>
      <rPr>
        <b val="true"/>
        <sz val="10"/>
        <color rgb="FFC00000"/>
        <rFont val="Noto Sans CJK SC"/>
        <family val="2"/>
      </rPr>
      <t xml:space="preserve">는 제어 주기와 같은 속도로 전부 기록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로그를 줄여야 하면 </t>
    </r>
    <r>
      <rPr>
        <b val="true"/>
        <sz val="10"/>
        <color rgb="FFC00000"/>
        <rFont val="Arial"/>
        <family val="0"/>
        <charset val="1"/>
      </rPr>
      <t xml:space="preserve">q_link</t>
    </r>
    <r>
      <rPr>
        <b val="true"/>
        <sz val="10"/>
        <color rgb="FFC00000"/>
        <rFont val="Noto Sans CJK SC"/>
        <family val="2"/>
      </rPr>
      <t xml:space="preserve">만 솎으세요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</si>
  <si>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sz val="9"/>
        <color rgb="FF606060"/>
        <rFont val="Noto Sans CJK SC"/>
        <family val="2"/>
      </rPr>
      <t xml:space="preserve">   제어 </t>
    </r>
    <r>
      <rPr>
        <sz val="9"/>
        <color rgb="FF606060"/>
        <rFont val="Arial"/>
        <family val="0"/>
        <charset val="1"/>
      </rPr>
      <t xml:space="preserve">1kHz</t>
    </r>
    <r>
      <rPr>
        <sz val="9"/>
        <color rgb="FF606060"/>
        <rFont val="Noto Sans CJK SC"/>
        <family val="2"/>
      </rPr>
      <t xml:space="preserve">인데 로그가 </t>
    </r>
    <r>
      <rPr>
        <sz val="9"/>
        <color rgb="FF606060"/>
        <rFont val="Arial"/>
        <family val="0"/>
        <charset val="1"/>
      </rPr>
      <t xml:space="preserve">200Hz</t>
    </r>
    <r>
      <rPr>
        <sz val="9"/>
        <color rgb="FF606060"/>
        <rFont val="Noto Sans CJK SC"/>
        <family val="2"/>
      </rPr>
      <t xml:space="preserve">면</t>
    </r>
    <r>
      <rPr>
        <sz val="9"/>
        <color rgb="FF606060"/>
        <rFont val="Arial"/>
        <family val="0"/>
        <charset val="1"/>
      </rPr>
      <t xml:space="preserve">, </t>
    </r>
    <r>
      <rPr>
        <sz val="9"/>
        <color rgb="FF606060"/>
        <rFont val="Noto Sans CJK SC"/>
        <family val="2"/>
      </rPr>
      <t xml:space="preserve">분석 쪽은 명령이 </t>
    </r>
    <r>
      <rPr>
        <sz val="9"/>
        <color rgb="FF606060"/>
        <rFont val="Arial"/>
        <family val="0"/>
        <charset val="1"/>
      </rPr>
      <t xml:space="preserve">5ms </t>
    </r>
    <r>
      <rPr>
        <sz val="9"/>
        <color rgb="FF606060"/>
        <rFont val="Noto Sans CJK SC"/>
        <family val="2"/>
      </rPr>
      <t xml:space="preserve">계단으로 유지된 줄 알고 재생합니다</t>
    </r>
    <r>
      <rPr>
        <sz val="9"/>
        <color rgb="FF606060"/>
        <rFont val="Arial"/>
        <family val="0"/>
        <charset val="1"/>
      </rPr>
      <t xml:space="preserve">.</t>
    </r>
  </si>
  <si>
    <r>
      <rPr>
        <sz val="9"/>
        <color rgb="FF606060"/>
        <rFont val="Noto Sans CJK SC"/>
        <family val="2"/>
      </rPr>
      <t xml:space="preserve">   그 차이가 고주파 궤적에서 </t>
    </r>
    <r>
      <rPr>
        <sz val="9"/>
        <color rgb="FF606060"/>
        <rFont val="Arial"/>
        <family val="0"/>
        <charset val="1"/>
      </rPr>
      <t xml:space="preserve">'</t>
    </r>
    <r>
      <rPr>
        <sz val="9"/>
        <color rgb="FF606060"/>
        <rFont val="Noto Sans CJK SC"/>
        <family val="2"/>
      </rPr>
      <t xml:space="preserve">모델 구조 오류</t>
    </r>
    <r>
      <rPr>
        <sz val="9"/>
        <color rgb="FF606060"/>
        <rFont val="Arial"/>
        <family val="0"/>
        <charset val="1"/>
      </rPr>
      <t xml:space="preserve">'</t>
    </r>
    <r>
      <rPr>
        <sz val="9"/>
        <color rgb="FF606060"/>
        <rFont val="Noto Sans CJK SC"/>
        <family val="2"/>
      </rPr>
      <t xml:space="preserve">로 둔갑합니다</t>
    </r>
    <r>
      <rPr>
        <sz val="9"/>
        <color rgb="FF606060"/>
        <rFont val="Arial"/>
        <family val="0"/>
        <charset val="1"/>
      </rPr>
      <t xml:space="preserve">.</t>
    </r>
  </si>
  <si>
    <r>
      <rPr>
        <b val="true"/>
        <sz val="10"/>
        <color rgb="FFC00000"/>
        <rFont val="Arial"/>
        <family val="0"/>
        <charset val="1"/>
      </rPr>
      <t xml:space="preserve">2. </t>
    </r>
    <r>
      <rPr>
        <b val="true"/>
        <sz val="10"/>
        <color rgb="FFC00000"/>
        <rFont val="Noto Sans CJK SC"/>
        <family val="2"/>
      </rPr>
      <t xml:space="preserve">조건당 반복 </t>
    </r>
    <r>
      <rPr>
        <b val="true"/>
        <sz val="10"/>
        <color rgb="FFC00000"/>
        <rFont val="Arial"/>
        <family val="0"/>
        <charset val="1"/>
      </rPr>
      <t xml:space="preserve">10</t>
    </r>
    <r>
      <rPr>
        <b val="true"/>
        <sz val="10"/>
        <color rgb="FFC00000"/>
        <rFont val="Noto Sans CJK SC"/>
        <family val="2"/>
      </rPr>
      <t xml:space="preserve">회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시행 간 산포가 유의성 문턱이 되고</t>
    </r>
    <r>
      <rPr>
        <b val="true"/>
        <sz val="10"/>
        <color rgb="FFC00000"/>
        <rFont val="Arial"/>
        <family val="0"/>
        <charset val="1"/>
      </rPr>
      <t xml:space="preserve">, </t>
    </r>
    <r>
      <rPr>
        <b val="true"/>
        <sz val="10"/>
        <color rgb="FFC00000"/>
        <rFont val="Noto Sans CJK SC"/>
        <family val="2"/>
      </rPr>
      <t xml:space="preserve">문턱이 없으면 순위를 주장할 수 없습니다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</si>
  <si>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sz val="9"/>
        <color rgb="FF606060"/>
        <rFont val="Noto Sans CJK SC"/>
        <family val="2"/>
      </rPr>
      <t xml:space="preserve">   시간이 부족하면 반복을 줄이지 말고 조건을 줄이세요</t>
    </r>
    <r>
      <rPr>
        <sz val="9"/>
        <color rgb="FF606060"/>
        <rFont val="Arial"/>
        <family val="0"/>
        <charset val="1"/>
      </rPr>
      <t xml:space="preserve">.</t>
    </r>
  </si>
  <si>
    <r>
      <rPr>
        <b val="true"/>
        <sz val="10"/>
        <color rgb="FFC00000"/>
        <rFont val="Arial"/>
        <family val="0"/>
        <charset val="1"/>
      </rPr>
      <t xml:space="preserve">3. </t>
    </r>
    <r>
      <rPr>
        <b val="true"/>
        <sz val="10"/>
        <color rgb="FFC00000"/>
        <rFont val="Noto Sans CJK SC"/>
        <family val="2"/>
      </rPr>
      <t xml:space="preserve">검증 세트는 학습에 쓴 궤적과 달라야 합니다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같으면 그 숫자는 아무 의미가 없습니다</t>
    </r>
    <r>
      <rPr>
        <b val="true"/>
        <sz val="10"/>
        <color rgb="FFC00000"/>
        <rFont val="Arial"/>
        <family val="0"/>
        <charset val="1"/>
      </rPr>
      <t xml:space="preserve">.</t>
    </r>
  </si>
  <si>
    <t xml:space="preserve">이상한 데이터일수록 보내세요</t>
  </si>
  <si>
    <r>
      <rPr>
        <sz val="10"/>
        <rFont val="Noto Sans CJK SC"/>
        <family val="2"/>
      </rPr>
      <t xml:space="preserve">값이 튀거나 실패한 실험을 걸러내고 보내면 원인 추적이 불가능합니다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</si>
  <si>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튄 구간이 자석 편심인지 통신 끊김인지 실제 물리인지는 그 구간을 봐야 압니다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</si>
  <si>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걸러내는 것은 원인을 파악한 뒤에 할 일입니다</t>
    </r>
    <r>
      <rPr>
        <sz val="10"/>
        <rFont val="Arial"/>
        <family val="0"/>
        <charset val="1"/>
      </rPr>
      <t xml:space="preserve">.</t>
    </r>
  </si>
  <si>
    <t xml:space="preserve">항목</t>
  </si>
  <si>
    <t xml:space="preserve">값</t>
  </si>
  <si>
    <t xml:space="preserve">단위</t>
  </si>
  <si>
    <t xml:space="preserve">비고</t>
  </si>
  <si>
    <r>
      <rPr>
        <sz val="10"/>
        <rFont val="Noto Sans CJK SC"/>
        <family val="2"/>
      </rPr>
      <t xml:space="preserve">링크 길이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회전축→끝단</t>
    </r>
    <r>
      <rPr>
        <sz val="10"/>
        <rFont val="Arial"/>
        <family val="0"/>
        <charset val="1"/>
      </rPr>
      <t xml:space="preserve">)</t>
    </r>
  </si>
  <si>
    <t xml:space="preserve">m</t>
  </si>
  <si>
    <r>
      <rPr>
        <i val="true"/>
        <sz val="10"/>
        <color rgb="FF808080"/>
        <rFont val="Noto Sans CJK SC"/>
        <family val="2"/>
      </rPr>
      <t xml:space="preserve">예시값</t>
    </r>
    <r>
      <rPr>
        <i val="true"/>
        <sz val="10"/>
        <color rgb="FF808080"/>
        <rFont val="Arial"/>
        <family val="0"/>
        <charset val="1"/>
      </rPr>
      <t xml:space="preserve">. </t>
    </r>
    <r>
      <rPr>
        <i val="true"/>
        <sz val="10"/>
        <color rgb="FF808080"/>
        <rFont val="Noto Sans CJK SC"/>
        <family val="2"/>
      </rPr>
      <t xml:space="preserve">실측으로 교체</t>
    </r>
  </si>
  <si>
    <r>
      <rPr>
        <sz val="10"/>
        <rFont val="Noto Sans CJK SC"/>
        <family val="2"/>
      </rPr>
      <t xml:space="preserve">링크 질량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로드만</t>
    </r>
    <r>
      <rPr>
        <sz val="10"/>
        <rFont val="Arial"/>
        <family val="0"/>
        <charset val="1"/>
      </rPr>
      <t xml:space="preserve">)</t>
    </r>
  </si>
  <si>
    <t xml:space="preserve">kg</t>
  </si>
  <si>
    <t xml:space="preserve">저울 실측</t>
  </si>
  <si>
    <t xml:space="preserve">끝단 추 질량</t>
  </si>
  <si>
    <r>
      <rPr>
        <sz val="9"/>
        <color rgb="FF606060"/>
        <rFont val="Noto Sans CJK SC"/>
        <family val="2"/>
      </rPr>
      <t xml:space="preserve">없으면 </t>
    </r>
    <r>
      <rPr>
        <sz val="9"/>
        <color rgb="FF606060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</si>
  <si>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무게중심 거리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회전축→</t>
    </r>
    <r>
      <rPr>
        <sz val="10"/>
        <rFont val="Arial"/>
        <family val="0"/>
        <charset val="1"/>
      </rPr>
      <t xml:space="preserve">CoM)</t>
    </r>
  </si>
  <si>
    <t xml:space="preserve">균형점을 찾아 측정</t>
  </si>
  <si>
    <t xml:space="preserve">자석 편심</t>
  </si>
  <si>
    <t xml:space="preserve">mm</t>
  </si>
  <si>
    <r>
      <rPr>
        <sz val="9"/>
        <color rgb="FF606060"/>
        <rFont val="Arial"/>
        <family val="0"/>
        <charset val="1"/>
      </rPr>
      <t xml:space="preserve">0.2mm </t>
    </r>
    <r>
      <rPr>
        <sz val="9"/>
        <color rgb="FF606060"/>
        <rFont val="Noto Sans CJK SC"/>
        <family val="2"/>
      </rPr>
      <t xml:space="preserve">이내여야 함</t>
    </r>
  </si>
  <si>
    <r>
      <rPr>
        <sz val="10"/>
        <rFont val="Arial"/>
        <family val="0"/>
        <charset val="1"/>
      </rPr>
      <t xml:space="preserve">AS5600–</t>
    </r>
    <r>
      <rPr>
        <sz val="10"/>
        <rFont val="Noto Sans CJK SC"/>
        <family val="2"/>
      </rPr>
      <t xml:space="preserve">자석 간격</t>
    </r>
  </si>
  <si>
    <t xml:space="preserve">1~3mm</t>
  </si>
  <si>
    <t xml:space="preserve">모터 모델</t>
  </si>
  <si>
    <t xml:space="preserve">XL430-W250-T</t>
  </si>
  <si>
    <r>
      <rPr>
        <sz val="9"/>
        <color rgb="FF606060"/>
        <rFont val="Arial"/>
        <family val="0"/>
        <charset val="1"/>
      </rPr>
      <t xml:space="preserve">B</t>
    </r>
    <r>
      <rPr>
        <sz val="9"/>
        <color rgb="FF606060"/>
        <rFont val="Noto Sans CJK SC"/>
        <family val="2"/>
      </rPr>
      <t xml:space="preserve">안 기준</t>
    </r>
  </si>
  <si>
    <t xml:space="preserve">모터 스톨 토크</t>
  </si>
  <si>
    <t xml:space="preserve">N·m</t>
  </si>
  <si>
    <r>
      <rPr>
        <sz val="9"/>
        <color rgb="FF606060"/>
        <rFont val="Noto Sans CJK SC"/>
        <family val="2"/>
      </rPr>
      <t xml:space="preserve">데이터시트 </t>
    </r>
    <r>
      <rPr>
        <sz val="9"/>
        <color rgb="FF606060"/>
        <rFont val="Arial"/>
        <family val="0"/>
        <charset val="1"/>
      </rPr>
      <t xml:space="preserve">12V</t>
    </r>
  </si>
  <si>
    <t xml:space="preserve">기어비</t>
  </si>
  <si>
    <t xml:space="preserve">데이터시트</t>
  </si>
  <si>
    <t xml:space="preserve">제어 주기</t>
  </si>
  <si>
    <t xml:space="preserve">Hz</t>
  </si>
  <si>
    <t xml:space="preserve">실제로 돌린 값을 적으세요</t>
  </si>
  <si>
    <r>
      <rPr>
        <sz val="10"/>
        <rFont val="Arial"/>
        <family val="0"/>
        <charset val="1"/>
      </rPr>
      <t xml:space="preserve">q_link </t>
    </r>
    <r>
      <rPr>
        <sz val="10"/>
        <rFont val="Noto Sans CJK SC"/>
        <family val="2"/>
      </rPr>
      <t xml:space="preserve">로그 주파수</t>
    </r>
  </si>
  <si>
    <r>
      <rPr>
        <sz val="9"/>
        <color rgb="FF606060"/>
        <rFont val="Arial"/>
        <family val="0"/>
        <charset val="1"/>
      </rPr>
      <t xml:space="preserve">200Hz </t>
    </r>
    <r>
      <rPr>
        <sz val="9"/>
        <color rgb="FF606060"/>
        <rFont val="Noto Sans CJK SC"/>
        <family val="2"/>
      </rPr>
      <t xml:space="preserve">이상</t>
    </r>
    <r>
      <rPr>
        <sz val="9"/>
        <color rgb="FF606060"/>
        <rFont val="Arial"/>
        <family val="0"/>
        <charset val="1"/>
      </rPr>
      <t xml:space="preserve">. </t>
    </r>
    <r>
      <rPr>
        <sz val="9"/>
        <color rgb="FF606060"/>
        <rFont val="Noto Sans CJK SC"/>
        <family val="2"/>
      </rPr>
      <t xml:space="preserve">다운샘플 금지</t>
    </r>
  </si>
  <si>
    <r>
      <rPr>
        <sz val="9"/>
        <color rgb="FF606060"/>
        <rFont val="Noto Sans CJK SC"/>
        <family val="2"/>
      </rPr>
      <t xml:space="preserve">중력 토크 상수 </t>
    </r>
    <r>
      <rPr>
        <sz val="9"/>
        <color rgb="FF606060"/>
        <rFont val="Arial"/>
        <family val="0"/>
        <charset val="1"/>
      </rPr>
      <t xml:space="preserve">= (</t>
    </r>
    <r>
      <rPr>
        <sz val="9"/>
        <color rgb="FF606060"/>
        <rFont val="Noto Sans CJK SC"/>
        <family val="2"/>
      </rPr>
      <t xml:space="preserve">링크질량</t>
    </r>
    <r>
      <rPr>
        <sz val="9"/>
        <color rgb="FF606060"/>
        <rFont val="Arial"/>
        <family val="0"/>
        <charset val="1"/>
      </rPr>
      <t xml:space="preserve">×CoM</t>
    </r>
    <r>
      <rPr>
        <sz val="9"/>
        <color rgb="FF606060"/>
        <rFont val="Noto Sans CJK SC"/>
        <family val="2"/>
      </rPr>
      <t xml:space="preserve">거리 </t>
    </r>
    <r>
      <rPr>
        <sz val="9"/>
        <color rgb="FF606060"/>
        <rFont val="Arial"/>
        <family val="0"/>
        <charset val="1"/>
      </rPr>
      <t xml:space="preserve">+ </t>
    </r>
    <r>
      <rPr>
        <sz val="9"/>
        <color rgb="FF606060"/>
        <rFont val="Noto Sans CJK SC"/>
        <family val="2"/>
      </rPr>
      <t xml:space="preserve">추질량</t>
    </r>
    <r>
      <rPr>
        <sz val="9"/>
        <color rgb="FF606060"/>
        <rFont val="Arial"/>
        <family val="0"/>
        <charset val="1"/>
      </rPr>
      <t xml:space="preserve">×</t>
    </r>
    <r>
      <rPr>
        <sz val="9"/>
        <color rgb="FF606060"/>
        <rFont val="Noto Sans CJK SC"/>
        <family val="2"/>
      </rPr>
      <t xml:space="preserve">링크길이</t>
    </r>
    <r>
      <rPr>
        <sz val="9"/>
        <color rgb="FF606060"/>
        <rFont val="Arial"/>
        <family val="0"/>
        <charset val="1"/>
      </rPr>
      <t xml:space="preserve">) × 9.81</t>
    </r>
  </si>
  <si>
    <t xml:space="preserve">계산값</t>
  </si>
  <si>
    <r>
      <rPr>
        <sz val="9"/>
        <color rgb="FF606060"/>
        <rFont val="Noto Sans CJK SC"/>
        <family val="2"/>
      </rPr>
      <t xml:space="preserve">자동 계산</t>
    </r>
    <r>
      <rPr>
        <sz val="9"/>
        <color rgb="FF606060"/>
        <rFont val="Arial"/>
        <family val="0"/>
        <charset val="1"/>
      </rPr>
      <t xml:space="preserve">. </t>
    </r>
    <r>
      <rPr>
        <sz val="9"/>
        <color rgb="FF606060"/>
        <rFont val="Noto Sans CJK SC"/>
        <family val="2"/>
      </rPr>
      <t xml:space="preserve">최대 중력 토크</t>
    </r>
  </si>
  <si>
    <r>
      <rPr>
        <b val="true"/>
        <sz val="10"/>
        <color rgb="FFFFFFFF"/>
        <rFont val="Noto Sans CJK SC"/>
        <family val="2"/>
      </rPr>
      <t xml:space="preserve">양</t>
    </r>
    <r>
      <rPr>
        <b val="true"/>
        <sz val="10"/>
        <color rgb="FFFFFFFF"/>
        <rFont val="Arial"/>
        <family val="0"/>
        <charset val="1"/>
      </rPr>
      <t xml:space="preserve">(+)</t>
    </r>
    <r>
      <rPr>
        <b val="true"/>
        <sz val="10"/>
        <color rgb="FFFFFFFF"/>
        <rFont val="Noto Sans CJK SC"/>
        <family val="2"/>
      </rPr>
      <t xml:space="preserve">의 방향</t>
    </r>
  </si>
  <si>
    <t xml:space="preserve">확인 방법</t>
  </si>
  <si>
    <r>
      <rPr>
        <sz val="10"/>
        <rFont val="Noto Sans CJK SC"/>
        <family val="2"/>
      </rPr>
      <t xml:space="preserve">모터 각도 </t>
    </r>
    <r>
      <rPr>
        <sz val="10"/>
        <rFont val="Arial"/>
        <family val="0"/>
        <charset val="1"/>
      </rPr>
      <t xml:space="preserve">q_m</t>
    </r>
  </si>
  <si>
    <r>
      <rPr>
        <sz val="9"/>
        <color rgb="FF606060"/>
        <rFont val="Noto Sans CJK SC"/>
        <family val="2"/>
      </rPr>
      <t xml:space="preserve">모터를 손으로 </t>
    </r>
    <r>
      <rPr>
        <sz val="9"/>
        <color rgb="FF606060"/>
        <rFont val="Arial"/>
        <family val="0"/>
        <charset val="1"/>
      </rPr>
      <t xml:space="preserve">+</t>
    </r>
    <r>
      <rPr>
        <sz val="9"/>
        <color rgb="FF606060"/>
        <rFont val="Noto Sans CJK SC"/>
        <family val="2"/>
      </rPr>
      <t xml:space="preserve">방향 회전 → 읽는 값이 증가하는지</t>
    </r>
  </si>
  <si>
    <r>
      <rPr>
        <sz val="10"/>
        <rFont val="Noto Sans CJK SC"/>
        <family val="2"/>
      </rPr>
      <t xml:space="preserve">링크 각도 </t>
    </r>
    <r>
      <rPr>
        <sz val="10"/>
        <rFont val="Arial"/>
        <family val="0"/>
        <charset val="1"/>
      </rPr>
      <t xml:space="preserve">q_link</t>
    </r>
  </si>
  <si>
    <t xml:space="preserve">링크를 같은 방향으로 밀었을 때 증가하는지</t>
  </si>
  <si>
    <r>
      <rPr>
        <sz val="10"/>
        <rFont val="Noto Sans CJK SC"/>
        <family val="2"/>
      </rPr>
      <t xml:space="preserve">스프링 변형 </t>
    </r>
    <r>
      <rPr>
        <sz val="10"/>
        <rFont val="Arial"/>
        <family val="0"/>
        <charset val="1"/>
      </rPr>
      <t xml:space="preserve">(q_m − q_link)</t>
    </r>
  </si>
  <si>
    <r>
      <rPr>
        <sz val="9"/>
        <color rgb="FF606060"/>
        <rFont val="Noto Sans CJK SC"/>
        <family val="2"/>
      </rPr>
      <t xml:space="preserve">링크를 고정하고 모터를 </t>
    </r>
    <r>
      <rPr>
        <sz val="9"/>
        <color rgb="FF606060"/>
        <rFont val="Arial"/>
        <family val="0"/>
        <charset val="1"/>
      </rPr>
      <t xml:space="preserve">+</t>
    </r>
    <r>
      <rPr>
        <sz val="9"/>
        <color rgb="FF606060"/>
        <rFont val="Noto Sans CJK SC"/>
        <family val="2"/>
      </rPr>
      <t xml:space="preserve">로 돌렸을 때 양수인지</t>
    </r>
  </si>
  <si>
    <t xml:space="preserve">모터 토크 명령</t>
  </si>
  <si>
    <r>
      <rPr>
        <sz val="9"/>
        <color rgb="FF606060"/>
        <rFont val="Arial"/>
        <family val="0"/>
        <charset val="1"/>
      </rPr>
      <t xml:space="preserve">+</t>
    </r>
    <r>
      <rPr>
        <sz val="9"/>
        <color rgb="FF606060"/>
        <rFont val="Noto Sans CJK SC"/>
        <family val="2"/>
      </rPr>
      <t xml:space="preserve">명령이 </t>
    </r>
    <r>
      <rPr>
        <sz val="9"/>
        <color rgb="FF606060"/>
        <rFont val="Arial"/>
        <family val="0"/>
        <charset val="1"/>
      </rPr>
      <t xml:space="preserve">+</t>
    </r>
    <r>
      <rPr>
        <sz val="9"/>
        <color rgb="FF606060"/>
        <rFont val="Noto Sans CJK SC"/>
        <family val="2"/>
      </rPr>
      <t xml:space="preserve">방향 회전을 만드는지</t>
    </r>
  </si>
  <si>
    <t xml:space="preserve">중력 방향</t>
  </si>
  <si>
    <r>
      <rPr>
        <sz val="9"/>
        <color rgb="FF606060"/>
        <rFont val="Noto Sans CJK SC"/>
        <family val="2"/>
      </rPr>
      <t xml:space="preserve">링크가 자연스럽게 떨어지는 쪽이 </t>
    </r>
    <r>
      <rPr>
        <sz val="9"/>
        <color rgb="FF606060"/>
        <rFont val="Arial"/>
        <family val="0"/>
        <charset val="1"/>
      </rPr>
      <t xml:space="preserve">+ </t>
    </r>
    <r>
      <rPr>
        <sz val="9"/>
        <color rgb="FF606060"/>
        <rFont val="Noto Sans CJK SC"/>
        <family val="2"/>
      </rPr>
      <t xml:space="preserve">인지 − 인지</t>
    </r>
  </si>
  <si>
    <r>
      <rPr>
        <b val="true"/>
        <sz val="10"/>
        <color rgb="FFC00000"/>
        <rFont val="Noto Sans CJK SC"/>
        <family val="2"/>
      </rPr>
      <t xml:space="preserve">부호가 하나라도 어긋나면 마찰이 음수로 나오거나 강성 부호가 뒤집힙니다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</si>
  <si>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sz val="9"/>
        <color rgb="FF606060"/>
        <rFont val="Noto Sans CJK SC"/>
        <family val="2"/>
      </rPr>
      <t xml:space="preserve">조립 직후 이 시트를 먼저 채우고</t>
    </r>
    <r>
      <rPr>
        <sz val="9"/>
        <color rgb="FF606060"/>
        <rFont val="Arial"/>
        <family val="0"/>
        <charset val="1"/>
      </rPr>
      <t xml:space="preserve">, </t>
    </r>
    <r>
      <rPr>
        <sz val="9"/>
        <color rgb="FF606060"/>
        <rFont val="Noto Sans CJK SC"/>
        <family val="2"/>
      </rPr>
      <t xml:space="preserve">이후 모든 실험에서 같은 규약을 유지하세요</t>
    </r>
    <r>
      <rPr>
        <sz val="9"/>
        <color rgb="FF606060"/>
        <rFont val="Arial"/>
        <family val="0"/>
        <charset val="1"/>
      </rPr>
      <t xml:space="preserve">.</t>
    </r>
  </si>
  <si>
    <t xml:space="preserve">수준</t>
  </si>
  <si>
    <t xml:space="preserve">스프링</t>
  </si>
  <si>
    <r>
      <rPr>
        <b val="true"/>
        <sz val="10"/>
        <color rgb="FFFFFFFF"/>
        <rFont val="Noto Sans CJK SC"/>
        <family val="2"/>
      </rPr>
      <t xml:space="preserve">반경</t>
    </r>
    <r>
      <rPr>
        <b val="true"/>
        <sz val="10"/>
        <color rgb="FFFFFFFF"/>
        <rFont val="Arial"/>
        <family val="0"/>
        <charset val="1"/>
      </rPr>
      <t xml:space="preserve">(mm)</t>
    </r>
  </si>
  <si>
    <r>
      <rPr>
        <b val="true"/>
        <sz val="10"/>
        <color rgb="FFFFFFFF"/>
        <rFont val="Noto Sans CJK SC"/>
        <family val="2"/>
      </rPr>
      <t xml:space="preserve">스프링강성
</t>
    </r>
    <r>
      <rPr>
        <b val="true"/>
        <sz val="10"/>
        <color rgb="FFFFFFFF"/>
        <rFont val="Arial"/>
        <family val="0"/>
        <charset val="1"/>
      </rPr>
      <t xml:space="preserve">(N/mm)</t>
    </r>
  </si>
  <si>
    <r>
      <rPr>
        <b val="true"/>
        <sz val="10"/>
        <color rgb="FFFFFFFF"/>
        <rFont val="Noto Sans CJK SC"/>
        <family val="2"/>
      </rPr>
      <t xml:space="preserve">계산 </t>
    </r>
    <r>
      <rPr>
        <b val="true"/>
        <sz val="10"/>
        <color rgb="FFFFFFFF"/>
        <rFont val="Arial"/>
        <family val="0"/>
        <charset val="1"/>
      </rPr>
      <t xml:space="preserve">k_theta
(N·m/rad)</t>
    </r>
  </si>
  <si>
    <r>
      <rPr>
        <b val="true"/>
        <sz val="10"/>
        <color rgb="FFFFFFFF"/>
        <rFont val="Noto Sans CJK SC"/>
        <family val="2"/>
      </rPr>
      <t xml:space="preserve">실측 </t>
    </r>
    <r>
      <rPr>
        <b val="true"/>
        <sz val="10"/>
        <color rgb="FFFFFFFF"/>
        <rFont val="Arial"/>
        <family val="0"/>
        <charset val="1"/>
      </rPr>
      <t xml:space="preserve">k_theta
(N·m/rad)</t>
    </r>
  </si>
  <si>
    <r>
      <rPr>
        <b val="true"/>
        <sz val="10"/>
        <color rgb="FFFFFFFF"/>
        <rFont val="Noto Sans CJK SC"/>
        <family val="2"/>
      </rPr>
      <t xml:space="preserve">작동토크
</t>
    </r>
    <r>
      <rPr>
        <b val="true"/>
        <sz val="10"/>
        <color rgb="FFFFFFFF"/>
        <rFont val="Arial"/>
        <family val="0"/>
        <charset val="1"/>
      </rPr>
      <t xml:space="preserve">(N·m)</t>
    </r>
  </si>
  <si>
    <t xml:space="preserve">low</t>
  </si>
  <si>
    <t xml:space="preserve">B</t>
  </si>
  <si>
    <t xml:space="preserve">실측값이 있으면 그것으로 토크 계산</t>
  </si>
  <si>
    <t xml:space="preserve">mid</t>
  </si>
  <si>
    <t xml:space="preserve">high</t>
  </si>
  <si>
    <t xml:space="preserve">C</t>
  </si>
  <si>
    <r>
      <rPr>
        <b val="true"/>
        <sz val="11"/>
        <rFont val="Noto Sans CJK SC"/>
        <family val="2"/>
      </rPr>
      <t xml:space="preserve">편차</t>
    </r>
    <r>
      <rPr>
        <b val="true"/>
        <sz val="11"/>
        <rFont val="Arial"/>
        <family val="0"/>
        <charset val="1"/>
      </rPr>
      <t xml:space="preserve">(%)</t>
    </r>
  </si>
  <si>
    <t xml:space="preserve">%</t>
  </si>
  <si>
    <r>
      <rPr>
        <b val="true"/>
        <sz val="10"/>
        <color rgb="FFC00000"/>
        <rFont val="Noto Sans CJK SC"/>
        <family val="2"/>
      </rPr>
      <t xml:space="preserve">실측 </t>
    </r>
    <r>
      <rPr>
        <b val="true"/>
        <sz val="10"/>
        <color rgb="FFC00000"/>
        <rFont val="Arial"/>
        <family val="0"/>
        <charset val="1"/>
      </rPr>
      <t xml:space="preserve">3</t>
    </r>
    <r>
      <rPr>
        <b val="true"/>
        <sz val="10"/>
        <color rgb="FFC00000"/>
        <rFont val="Noto Sans CJK SC"/>
        <family val="2"/>
      </rPr>
      <t xml:space="preserve">개를 모두 채우면 계산됩니다</t>
    </r>
    <r>
      <rPr>
        <b val="true"/>
        <sz val="10"/>
        <color rgb="FFC00000"/>
        <rFont val="Arial"/>
        <family val="0"/>
        <charset val="1"/>
      </rPr>
      <t xml:space="preserve">. 20% </t>
    </r>
    <r>
      <rPr>
        <b val="true"/>
        <sz val="10"/>
        <color rgb="FFC00000"/>
        <rFont val="Noto Sans CJK SC"/>
        <family val="2"/>
      </rPr>
      <t xml:space="preserve">넘으면 허브 두께 늘려 재인쇄</t>
    </r>
  </si>
  <si>
    <t xml:space="preserve">강성 실측법</t>
  </si>
  <si>
    <r>
      <rPr>
        <sz val="9"/>
        <color rgb="FF606060"/>
        <rFont val="Arial"/>
        <family val="0"/>
        <charset val="1"/>
      </rPr>
      <t xml:space="preserve">1. </t>
    </r>
    <r>
      <rPr>
        <sz val="9"/>
        <color rgb="FF606060"/>
        <rFont val="Noto Sans CJK SC"/>
        <family val="2"/>
      </rPr>
      <t xml:space="preserve">링크를 수평으로 두고 끝단에 알려진 질량을 단계적으로 건다</t>
    </r>
  </si>
  <si>
    <r>
      <rPr>
        <sz val="9"/>
        <color rgb="FF606060"/>
        <rFont val="Arial"/>
        <family val="0"/>
        <charset val="1"/>
      </rPr>
      <t xml:space="preserve">2. </t>
    </r>
    <r>
      <rPr>
        <sz val="9"/>
        <color rgb="FF606060"/>
        <rFont val="Noto Sans CJK SC"/>
        <family val="2"/>
      </rPr>
      <t xml:space="preserve">각 하중에서 </t>
    </r>
    <r>
      <rPr>
        <sz val="9"/>
        <color rgb="FF606060"/>
        <rFont val="Arial"/>
        <family val="0"/>
        <charset val="1"/>
      </rPr>
      <t xml:space="preserve">q_m</t>
    </r>
    <r>
      <rPr>
        <sz val="9"/>
        <color rgb="FF606060"/>
        <rFont val="Noto Sans CJK SC"/>
        <family val="2"/>
      </rPr>
      <t xml:space="preserve">과 </t>
    </r>
    <r>
      <rPr>
        <sz val="9"/>
        <color rgb="FF606060"/>
        <rFont val="Arial"/>
        <family val="0"/>
        <charset val="1"/>
      </rPr>
      <t xml:space="preserve">q_link</t>
    </r>
    <r>
      <rPr>
        <sz val="9"/>
        <color rgb="FF606060"/>
        <rFont val="Noto Sans CJK SC"/>
        <family val="2"/>
      </rPr>
      <t xml:space="preserve">를 동시에 읽어 차이</t>
    </r>
    <r>
      <rPr>
        <sz val="9"/>
        <color rgb="FF606060"/>
        <rFont val="Arial"/>
        <family val="0"/>
        <charset val="1"/>
      </rPr>
      <t xml:space="preserve">(</t>
    </r>
    <r>
      <rPr>
        <sz val="9"/>
        <color rgb="FF606060"/>
        <rFont val="Noto Sans CJK SC"/>
        <family val="2"/>
      </rPr>
      <t xml:space="preserve">변형각</t>
    </r>
    <r>
      <rPr>
        <sz val="9"/>
        <color rgb="FF606060"/>
        <rFont val="Arial"/>
        <family val="0"/>
        <charset val="1"/>
      </rPr>
      <t xml:space="preserve">)</t>
    </r>
    <r>
      <rPr>
        <sz val="9"/>
        <color rgb="FF606060"/>
        <rFont val="Noto Sans CJK SC"/>
        <family val="2"/>
      </rPr>
      <t xml:space="preserve">를 구한다</t>
    </r>
  </si>
  <si>
    <r>
      <rPr>
        <sz val="9"/>
        <color rgb="FF606060"/>
        <rFont val="Arial"/>
        <family val="0"/>
        <charset val="1"/>
      </rPr>
      <t xml:space="preserve">3. (</t>
    </r>
    <r>
      <rPr>
        <sz val="9"/>
        <color rgb="FF606060"/>
        <rFont val="Noto Sans CJK SC"/>
        <family val="2"/>
      </rPr>
      <t xml:space="preserve">하중</t>
    </r>
    <r>
      <rPr>
        <sz val="9"/>
        <color rgb="FF606060"/>
        <rFont val="Arial"/>
        <family val="0"/>
        <charset val="1"/>
      </rPr>
      <t xml:space="preserve">×</t>
    </r>
    <r>
      <rPr>
        <sz val="9"/>
        <color rgb="FF606060"/>
        <rFont val="Noto Sans CJK SC"/>
        <family val="2"/>
      </rPr>
      <t xml:space="preserve">링크길이</t>
    </r>
    <r>
      <rPr>
        <sz val="9"/>
        <color rgb="FF606060"/>
        <rFont val="Arial"/>
        <family val="0"/>
        <charset val="1"/>
      </rPr>
      <t xml:space="preserve">) </t>
    </r>
    <r>
      <rPr>
        <sz val="9"/>
        <color rgb="FF606060"/>
        <rFont val="Noto Sans CJK SC"/>
        <family val="2"/>
      </rPr>
      <t xml:space="preserve">대 변형각을 그리고 기울기를 취한다 → </t>
    </r>
    <r>
      <rPr>
        <sz val="9"/>
        <color rgb="FF606060"/>
        <rFont val="Arial"/>
        <family val="0"/>
        <charset val="1"/>
      </rPr>
      <t xml:space="preserve">k_theta</t>
    </r>
  </si>
  <si>
    <r>
      <rPr>
        <sz val="9"/>
        <color rgb="FF606060"/>
        <rFont val="Arial"/>
        <family val="0"/>
        <charset val="1"/>
      </rPr>
      <t xml:space="preserve">4. </t>
    </r>
    <r>
      <rPr>
        <sz val="9"/>
        <color rgb="FF606060"/>
        <rFont val="Noto Sans CJK SC"/>
        <family val="2"/>
      </rPr>
      <t xml:space="preserve">하중을 </t>
    </r>
    <r>
      <rPr>
        <sz val="9"/>
        <color rgb="FF606060"/>
        <rFont val="Arial"/>
        <family val="0"/>
        <charset val="1"/>
      </rPr>
      <t xml:space="preserve">4</t>
    </r>
    <r>
      <rPr>
        <sz val="9"/>
        <color rgb="FF606060"/>
        <rFont val="Noto Sans CJK SC"/>
        <family val="2"/>
      </rPr>
      <t xml:space="preserve">점 이상 쓴다</t>
    </r>
    <r>
      <rPr>
        <sz val="9"/>
        <color rgb="FF606060"/>
        <rFont val="Arial"/>
        <family val="0"/>
        <charset val="1"/>
      </rPr>
      <t xml:space="preserve">. </t>
    </r>
    <r>
      <rPr>
        <sz val="9"/>
        <color rgb="FF606060"/>
        <rFont val="Noto Sans CJK SC"/>
        <family val="2"/>
      </rPr>
      <t xml:space="preserve">한 점만 재면 초기 세팅 오차가 그대로 들어간다</t>
    </r>
  </si>
  <si>
    <r>
      <rPr>
        <sz val="9"/>
        <color rgb="FF606060"/>
        <rFont val="Noto Sans CJK SC"/>
        <family val="2"/>
      </rPr>
      <t xml:space="preserve">스프링 강성 자체도 실측을 권장</t>
    </r>
    <r>
      <rPr>
        <sz val="9"/>
        <color rgb="FF606060"/>
        <rFont val="Arial"/>
        <family val="0"/>
        <charset val="1"/>
      </rPr>
      <t xml:space="preserve">: k = m·g / (</t>
    </r>
    <r>
      <rPr>
        <sz val="9"/>
        <color rgb="FF606060"/>
        <rFont val="Noto Sans CJK SC"/>
        <family val="2"/>
      </rPr>
      <t xml:space="preserve">자유장 − 눌린길이</t>
    </r>
    <r>
      <rPr>
        <sz val="9"/>
        <color rgb="FF606060"/>
        <rFont val="Arial"/>
        <family val="0"/>
        <charset val="1"/>
      </rPr>
      <t xml:space="preserve">), </t>
    </r>
    <r>
      <rPr>
        <sz val="9"/>
        <color rgb="FF606060"/>
        <rFont val="Noto Sans CJK SC"/>
        <family val="2"/>
      </rPr>
      <t xml:space="preserve">길이 단위는 </t>
    </r>
    <r>
      <rPr>
        <sz val="9"/>
        <color rgb="FF606060"/>
        <rFont val="Arial"/>
        <family val="0"/>
        <charset val="1"/>
      </rPr>
      <t xml:space="preserve">m</t>
    </r>
  </si>
  <si>
    <t xml:space="preserve">측정값</t>
  </si>
  <si>
    <r>
      <rPr>
        <b val="true"/>
        <sz val="10"/>
        <color rgb="FFFFFFFF"/>
        <rFont val="Noto Sans CJK SC"/>
        <family val="2"/>
      </rPr>
      <t xml:space="preserve">방법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판정</t>
    </r>
  </si>
  <si>
    <t xml:space="preserve">엔코더 노이즈 표준편차</t>
  </si>
  <si>
    <t xml:space="preserve">rad</t>
  </si>
  <si>
    <r>
      <rPr>
        <sz val="9"/>
        <color rgb="FF606060"/>
        <rFont val="Noto Sans CJK SC"/>
        <family val="2"/>
      </rPr>
      <t xml:space="preserve">완전 정지 상태로 </t>
    </r>
    <r>
      <rPr>
        <sz val="9"/>
        <color rgb="FF606060"/>
        <rFont val="Arial"/>
        <family val="0"/>
        <charset val="1"/>
      </rPr>
      <t xml:space="preserve">60</t>
    </r>
    <r>
      <rPr>
        <sz val="9"/>
        <color rgb="FF606060"/>
        <rFont val="Noto Sans CJK SC"/>
        <family val="2"/>
      </rPr>
      <t xml:space="preserve">초 기록</t>
    </r>
    <r>
      <rPr>
        <sz val="9"/>
        <color rgb="FF606060"/>
        <rFont val="Arial"/>
        <family val="0"/>
        <charset val="1"/>
      </rPr>
      <t xml:space="preserve">. </t>
    </r>
    <r>
      <rPr>
        <sz val="9"/>
        <color rgb="FF606060"/>
        <rFont val="Noto Sans CJK SC"/>
        <family val="2"/>
      </rPr>
      <t xml:space="preserve">이 값이 측정 한계이며 </t>
    </r>
    <r>
      <rPr>
        <sz val="9"/>
        <color rgb="FF606060"/>
        <rFont val="Arial"/>
        <family val="0"/>
        <charset val="1"/>
      </rPr>
      <t xml:space="preserve">analyze_gap.py</t>
    </r>
    <r>
      <rPr>
        <sz val="9"/>
        <color rgb="FF606060"/>
        <rFont val="Noto Sans CJK SC"/>
        <family val="2"/>
      </rPr>
      <t xml:space="preserve">의 </t>
    </r>
    <r>
      <rPr>
        <sz val="9"/>
        <color rgb="FF606060"/>
        <rFont val="Arial"/>
        <family val="0"/>
        <charset val="1"/>
      </rPr>
      <t xml:space="preserve">--noise </t>
    </r>
    <r>
      <rPr>
        <sz val="9"/>
        <color rgb="FF606060"/>
        <rFont val="Noto Sans CJK SC"/>
        <family val="2"/>
      </rPr>
      <t xml:space="preserve">인자</t>
    </r>
  </si>
  <si>
    <r>
      <rPr>
        <sz val="10"/>
        <rFont val="Noto Sans CJK SC"/>
        <family val="2"/>
      </rPr>
      <t xml:space="preserve">반복성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동일 궤적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회 편차</t>
    </r>
    <r>
      <rPr>
        <sz val="10"/>
        <rFont val="Arial"/>
        <family val="0"/>
        <charset val="1"/>
      </rPr>
      <t xml:space="preserve">)</t>
    </r>
  </si>
  <si>
    <r>
      <rPr>
        <sz val="9"/>
        <color rgb="FF606060"/>
        <rFont val="Noto Sans CJK SC"/>
        <family val="2"/>
      </rPr>
      <t xml:space="preserve">오차의 하한선</t>
    </r>
    <r>
      <rPr>
        <sz val="9"/>
        <color rgb="FF606060"/>
        <rFont val="Arial"/>
        <family val="0"/>
        <charset val="1"/>
      </rPr>
      <t xml:space="preserve">. </t>
    </r>
    <r>
      <rPr>
        <sz val="9"/>
        <color rgb="FF606060"/>
        <rFont val="Noto Sans CJK SC"/>
        <family val="2"/>
      </rPr>
      <t xml:space="preserve">모델을 개선해도 이 아래로는 못 내려감</t>
    </r>
  </si>
  <si>
    <t xml:space="preserve">토크 상수 실측</t>
  </si>
  <si>
    <t xml:space="preserve">N·m/A</t>
  </si>
  <si>
    <t xml:space="preserve">알려진 추로 정지 유지에 필요한 전류 측정 후 역산</t>
  </si>
  <si>
    <t xml:space="preserve">토크 상수 데이터시트 대비 편차</t>
  </si>
  <si>
    <r>
      <rPr>
        <sz val="9"/>
        <color rgb="FF606060"/>
        <rFont val="Arial"/>
        <family val="0"/>
        <charset val="1"/>
      </rPr>
      <t xml:space="preserve">10% </t>
    </r>
    <r>
      <rPr>
        <sz val="9"/>
        <color rgb="FF606060"/>
        <rFont val="Noto Sans CJK SC"/>
        <family val="2"/>
      </rPr>
      <t xml:space="preserve">이상이면 데이터시트를 버리고 실측값 사용</t>
    </r>
  </si>
  <si>
    <t xml:space="preserve">워밍업 안정화 시간</t>
  </si>
  <si>
    <t xml:space="preserve">min</t>
  </si>
  <si>
    <r>
      <rPr>
        <sz val="9"/>
        <color rgb="FF606060"/>
        <rFont val="Noto Sans CJK SC"/>
        <family val="2"/>
      </rPr>
      <t xml:space="preserve">전원 인가 후 </t>
    </r>
    <r>
      <rPr>
        <sz val="9"/>
        <color rgb="FF606060"/>
        <rFont val="Arial"/>
        <family val="0"/>
        <charset val="1"/>
      </rPr>
      <t xml:space="preserve">30</t>
    </r>
    <r>
      <rPr>
        <sz val="9"/>
        <color rgb="FF606060"/>
        <rFont val="Noto Sans CJK SC"/>
        <family val="2"/>
      </rPr>
      <t xml:space="preserve">분간 동일 궤적 반복</t>
    </r>
    <r>
      <rPr>
        <sz val="9"/>
        <color rgb="FF606060"/>
        <rFont val="Arial"/>
        <family val="0"/>
        <charset val="1"/>
      </rPr>
      <t xml:space="preserve">, </t>
    </r>
    <r>
      <rPr>
        <sz val="9"/>
        <color rgb="FF606060"/>
        <rFont val="Noto Sans CJK SC"/>
        <family val="2"/>
      </rPr>
      <t xml:space="preserve">필요 토크가 평탄해지는 시점</t>
    </r>
  </si>
  <si>
    <r>
      <rPr>
        <sz val="10"/>
        <rFont val="Arial"/>
        <family val="0"/>
        <charset val="1"/>
      </rPr>
      <t xml:space="preserve">SEA </t>
    </r>
    <r>
      <rPr>
        <sz val="10"/>
        <rFont val="Noto Sans CJK SC"/>
        <family val="2"/>
      </rPr>
      <t xml:space="preserve">토크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전류 토크 불일치</t>
    </r>
  </si>
  <si>
    <t xml:space="preserve">두 값의 차이가 기어박스 마찰의 직접 측정값</t>
  </si>
  <si>
    <t xml:space="preserve">자유진동 감쇠비</t>
  </si>
  <si>
    <r>
      <rPr>
        <sz val="9"/>
        <color rgb="FF606060"/>
        <rFont val="Noto Sans CJK SC"/>
        <family val="2"/>
      </rPr>
      <t xml:space="preserve">조립 직후 확인</t>
    </r>
    <r>
      <rPr>
        <sz val="9"/>
        <color rgb="FF606060"/>
        <rFont val="Arial"/>
        <family val="0"/>
        <charset val="1"/>
      </rPr>
      <t xml:space="preserve">. </t>
    </r>
    <r>
      <rPr>
        <sz val="9"/>
        <color rgb="FF606060"/>
        <rFont val="Noto Sans CJK SC"/>
        <family val="2"/>
      </rPr>
      <t xml:space="preserve">비정상이면 데이터 쌓기 전에 기구부부터 점검</t>
    </r>
  </si>
  <si>
    <r>
      <rPr>
        <b val="true"/>
        <sz val="10"/>
        <color rgb="FFC00000"/>
        <rFont val="Noto Sans CJK SC"/>
        <family val="2"/>
      </rPr>
      <t xml:space="preserve">이 시트가 비어 있으면 이후 모든 데이터가 무의미합니다</t>
    </r>
    <r>
      <rPr>
        <b val="true"/>
        <sz val="10"/>
        <color rgb="FFC00000"/>
        <rFont val="Arial"/>
        <family val="0"/>
        <charset val="1"/>
      </rPr>
      <t xml:space="preserve">.</t>
    </r>
  </si>
  <si>
    <t xml:space="preserve">level</t>
  </si>
  <si>
    <t xml:space="preserve">k_theta</t>
  </si>
  <si>
    <t xml:space="preserve">Ia</t>
  </si>
  <si>
    <t xml:space="preserve">d</t>
  </si>
  <si>
    <t xml:space="preserve">tau_f</t>
  </si>
  <si>
    <t xml:space="preserve">b_s</t>
  </si>
  <si>
    <t xml:space="preserve">rho</t>
  </si>
  <si>
    <r>
      <rPr>
        <b val="true"/>
        <sz val="10"/>
        <color rgb="FFFFFFFF"/>
        <rFont val="Noto Sans CJK SC"/>
        <family val="2"/>
      </rPr>
      <t xml:space="preserve">측정 </t>
    </r>
    <r>
      <rPr>
        <b val="true"/>
        <sz val="10"/>
        <color rgb="FFFFFFFF"/>
        <rFont val="Arial"/>
        <family val="0"/>
        <charset val="1"/>
      </rPr>
      <t xml:space="preserve">Phase</t>
    </r>
  </si>
  <si>
    <t xml:space="preserve">N·m/rad</t>
  </si>
  <si>
    <t xml:space="preserve">kg·m²</t>
  </si>
  <si>
    <t xml:space="preserve">N·m·s/rad</t>
  </si>
  <si>
    <t xml:space="preserve">배율</t>
  </si>
  <si>
    <t xml:space="preserve">1-D / 1-F / 1-B / 1-A / 1-F / 1-F</t>
  </si>
  <si>
    <t xml:space="preserve">예시</t>
  </si>
  <si>
    <r>
      <rPr>
        <i val="true"/>
        <sz val="10"/>
        <color rgb="FF808080"/>
        <rFont val="Noto Sans CJK SC"/>
        <family val="2"/>
      </rPr>
      <t xml:space="preserve">형식 예시</t>
    </r>
    <r>
      <rPr>
        <i val="true"/>
        <sz val="10"/>
        <color rgb="FF808080"/>
        <rFont val="Arial"/>
        <family val="0"/>
        <charset val="1"/>
      </rPr>
      <t xml:space="preserve">. </t>
    </r>
    <r>
      <rPr>
        <i val="true"/>
        <sz val="10"/>
        <color rgb="FF808080"/>
        <rFont val="Noto Sans CJK SC"/>
        <family val="2"/>
      </rPr>
      <t xml:space="preserve">실제 입력 시 이 행을 지우세요</t>
    </r>
  </si>
  <si>
    <r>
      <rPr>
        <sz val="9"/>
        <color rgb="FF606060"/>
        <rFont val="Noto Sans CJK SC"/>
        <family val="2"/>
      </rPr>
      <t xml:space="preserve">이 시트를 그대로 </t>
    </r>
    <r>
      <rPr>
        <sz val="9"/>
        <color rgb="FF606060"/>
        <rFont val="Arial"/>
        <family val="0"/>
        <charset val="1"/>
      </rPr>
      <t xml:space="preserve">components.csv</t>
    </r>
    <r>
      <rPr>
        <sz val="9"/>
        <color rgb="FF606060"/>
        <rFont val="Noto Sans CJK SC"/>
        <family val="2"/>
      </rPr>
      <t xml:space="preserve">로 내보내면 </t>
    </r>
    <r>
      <rPr>
        <sz val="9"/>
        <color rgb="FF606060"/>
        <rFont val="Arial"/>
        <family val="0"/>
        <charset val="1"/>
      </rPr>
      <t xml:space="preserve">analyze_gap.py </t>
    </r>
    <r>
      <rPr>
        <sz val="9"/>
        <color rgb="FF606060"/>
        <rFont val="Noto Sans CJK SC"/>
        <family val="2"/>
      </rPr>
      <t xml:space="preserve">입력이 됩니다</t>
    </r>
    <r>
      <rPr>
        <sz val="9"/>
        <color rgb="FF606060"/>
        <rFont val="Arial"/>
        <family val="0"/>
        <charset val="1"/>
      </rPr>
      <t xml:space="preserve">.</t>
    </r>
  </si>
  <si>
    <r>
      <rPr>
        <b val="true"/>
        <sz val="10"/>
        <color rgb="FFC00000"/>
        <rFont val="Noto Sans CJK SC"/>
        <family val="2"/>
      </rPr>
      <t xml:space="preserve">내보낼 때 단위 행</t>
    </r>
    <r>
      <rPr>
        <b val="true"/>
        <sz val="10"/>
        <color rgb="FFC00000"/>
        <rFont val="Arial"/>
        <family val="0"/>
        <charset val="1"/>
      </rPr>
      <t xml:space="preserve">(2</t>
    </r>
    <r>
      <rPr>
        <b val="true"/>
        <sz val="10"/>
        <color rgb="FFC00000"/>
        <rFont val="Noto Sans CJK SC"/>
        <family val="2"/>
      </rPr>
      <t xml:space="preserve">행</t>
    </r>
    <r>
      <rPr>
        <b val="true"/>
        <sz val="10"/>
        <color rgb="FFC00000"/>
        <rFont val="Arial"/>
        <family val="0"/>
        <charset val="1"/>
      </rPr>
      <t xml:space="preserve">)</t>
    </r>
    <r>
      <rPr>
        <b val="true"/>
        <sz val="10"/>
        <color rgb="FFC00000"/>
        <rFont val="Noto Sans CJK SC"/>
        <family val="2"/>
      </rPr>
      <t xml:space="preserve">과 예시 행</t>
    </r>
    <r>
      <rPr>
        <b val="true"/>
        <sz val="10"/>
        <color rgb="FFC00000"/>
        <rFont val="Arial"/>
        <family val="0"/>
        <charset val="1"/>
      </rPr>
      <t xml:space="preserve">(7</t>
    </r>
    <r>
      <rPr>
        <b val="true"/>
        <sz val="10"/>
        <color rgb="FFC00000"/>
        <rFont val="Noto Sans CJK SC"/>
        <family val="2"/>
      </rPr>
      <t xml:space="preserve">행</t>
    </r>
    <r>
      <rPr>
        <b val="true"/>
        <sz val="10"/>
        <color rgb="FFC00000"/>
        <rFont val="Arial"/>
        <family val="0"/>
        <charset val="1"/>
      </rPr>
      <t xml:space="preserve">)</t>
    </r>
    <r>
      <rPr>
        <b val="true"/>
        <sz val="10"/>
        <color rgb="FFC00000"/>
        <rFont val="Noto Sans CJK SC"/>
        <family val="2"/>
      </rPr>
      <t xml:space="preserve">은 제외하세요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</si>
  <si>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sz val="9"/>
        <color rgb="FF606060"/>
        <rFont val="Arial"/>
        <family val="0"/>
        <charset val="1"/>
      </rPr>
      <t xml:space="preserve">rho</t>
    </r>
    <r>
      <rPr>
        <sz val="9"/>
        <color rgb="FF606060"/>
        <rFont val="Noto Sans CJK SC"/>
        <family val="2"/>
      </rPr>
      <t xml:space="preserve">는 링크 밀도 배율입니다</t>
    </r>
    <r>
      <rPr>
        <sz val="9"/>
        <color rgb="FF606060"/>
        <rFont val="Arial"/>
        <family val="0"/>
        <charset val="1"/>
      </rPr>
      <t xml:space="preserve">. CAD </t>
    </r>
    <r>
      <rPr>
        <sz val="9"/>
        <color rgb="FF606060"/>
        <rFont val="Noto Sans CJK SC"/>
        <family val="2"/>
      </rPr>
      <t xml:space="preserve">대비 실측 질량비를 넣으세요 </t>
    </r>
    <r>
      <rPr>
        <sz val="9"/>
        <color rgb="FF606060"/>
        <rFont val="Arial"/>
        <family val="0"/>
        <charset val="1"/>
      </rPr>
      <t xml:space="preserve">(1.0 = CAD</t>
    </r>
    <r>
      <rPr>
        <sz val="9"/>
        <color rgb="FF606060"/>
        <rFont val="Noto Sans CJK SC"/>
        <family val="2"/>
      </rPr>
      <t xml:space="preserve">와 동일</t>
    </r>
    <r>
      <rPr>
        <sz val="9"/>
        <color rgb="FF606060"/>
        <rFont val="Arial"/>
        <family val="0"/>
        <charset val="1"/>
      </rPr>
      <t xml:space="preserve">).</t>
    </r>
  </si>
  <si>
    <r>
      <rPr>
        <b val="true"/>
        <sz val="10"/>
        <color rgb="FFFFFFFF"/>
        <rFont val="Noto Sans CJK SC"/>
        <family val="2"/>
      </rPr>
      <t xml:space="preserve">실험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</si>
  <si>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excitation</t>
  </si>
  <si>
    <t xml:space="preserve">trial</t>
  </si>
  <si>
    <r>
      <rPr>
        <b val="true"/>
        <sz val="10"/>
        <color rgb="FFFFFFFF"/>
        <rFont val="Noto Sans CJK SC"/>
        <family val="2"/>
      </rPr>
      <t xml:space="preserve">변형각</t>
    </r>
    <r>
      <rPr>
        <b val="true"/>
        <sz val="10"/>
        <color rgb="FFFFFFFF"/>
        <rFont val="Arial"/>
        <family val="0"/>
        <charset val="1"/>
      </rPr>
      <t xml:space="preserve">(°)</t>
    </r>
  </si>
  <si>
    <r>
      <rPr>
        <b val="true"/>
        <sz val="10"/>
        <color rgb="FFFFFFFF"/>
        <rFont val="Noto Sans CJK SC"/>
        <family val="2"/>
      </rPr>
      <t xml:space="preserve">토크진폭
</t>
    </r>
    <r>
      <rPr>
        <b val="true"/>
        <sz val="10"/>
        <color rgb="FFFFFFFF"/>
        <rFont val="Arial"/>
        <family val="0"/>
        <charset val="1"/>
      </rPr>
      <t xml:space="preserve">(N·m)</t>
    </r>
  </si>
  <si>
    <r>
      <rPr>
        <b val="true"/>
        <sz val="10"/>
        <color rgb="FFFFFFFF"/>
        <rFont val="Arial"/>
        <family val="0"/>
        <charset val="1"/>
      </rPr>
      <t xml:space="preserve">CSV </t>
    </r>
    <r>
      <rPr>
        <b val="true"/>
        <sz val="10"/>
        <color rgb="FFFFFFFF"/>
        <rFont val="Noto Sans CJK SC"/>
        <family val="2"/>
      </rPr>
      <t xml:space="preserve">파일명</t>
    </r>
  </si>
  <si>
    <r>
      <rPr>
        <b val="true"/>
        <sz val="10"/>
        <color rgb="FFFFFFFF"/>
        <rFont val="Noto Sans CJK SC"/>
        <family val="2"/>
      </rPr>
      <t xml:space="preserve">모터온도
시작</t>
    </r>
    <r>
      <rPr>
        <b val="true"/>
        <sz val="10"/>
        <color rgb="FFFFFFFF"/>
        <rFont val="Arial"/>
        <family val="0"/>
        <charset val="1"/>
      </rPr>
      <t xml:space="preserve">(°C)</t>
    </r>
  </si>
  <si>
    <r>
      <rPr>
        <b val="true"/>
        <sz val="10"/>
        <color rgb="FFFFFFFF"/>
        <rFont val="Noto Sans CJK SC"/>
        <family val="2"/>
      </rPr>
      <t xml:space="preserve">모터온도
종료</t>
    </r>
    <r>
      <rPr>
        <b val="true"/>
        <sz val="10"/>
        <color rgb="FFFFFFFF"/>
        <rFont val="Arial"/>
        <family val="0"/>
        <charset val="1"/>
      </rPr>
      <t xml:space="preserve">(°C)</t>
    </r>
  </si>
  <si>
    <t xml:space="preserve">특이사항</t>
  </si>
  <si>
    <t xml:space="preserve">EX001</t>
  </si>
  <si>
    <t xml:space="preserve">chirp</t>
  </si>
  <si>
    <t xml:space="preserve">EX001_chirp_low_t1.csv</t>
  </si>
  <si>
    <t xml:space="preserve">정상</t>
  </si>
  <si>
    <r>
      <rPr>
        <sz val="9"/>
        <color rgb="FF606060"/>
        <rFont val="Arial"/>
        <family val="0"/>
        <charset val="1"/>
      </rPr>
      <t xml:space="preserve">9</t>
    </r>
    <r>
      <rPr>
        <sz val="9"/>
        <color rgb="FF606060"/>
        <rFont val="Noto Sans CJK SC"/>
        <family val="2"/>
      </rPr>
      <t xml:space="preserve">조건</t>
    </r>
    <r>
      <rPr>
        <sz val="9"/>
        <color rgb="FF606060"/>
        <rFont val="Arial"/>
        <family val="0"/>
        <charset val="1"/>
      </rPr>
      <t xml:space="preserve">(3</t>
    </r>
    <r>
      <rPr>
        <sz val="9"/>
        <color rgb="FF606060"/>
        <rFont val="Noto Sans CJK SC"/>
        <family val="2"/>
      </rPr>
      <t xml:space="preserve">강성</t>
    </r>
    <r>
      <rPr>
        <sz val="9"/>
        <color rgb="FF606060"/>
        <rFont val="Arial"/>
        <family val="0"/>
        <charset val="1"/>
      </rPr>
      <t xml:space="preserve">×3</t>
    </r>
    <r>
      <rPr>
        <sz val="9"/>
        <color rgb="FF606060"/>
        <rFont val="Noto Sans CJK SC"/>
        <family val="2"/>
      </rPr>
      <t xml:space="preserve">궤적</t>
    </r>
    <r>
      <rPr>
        <sz val="9"/>
        <color rgb="FF606060"/>
        <rFont val="Arial"/>
        <family val="0"/>
        <charset val="1"/>
      </rPr>
      <t xml:space="preserve">) × 10</t>
    </r>
    <r>
      <rPr>
        <sz val="9"/>
        <color rgb="FF606060"/>
        <rFont val="Noto Sans CJK SC"/>
        <family val="2"/>
      </rPr>
      <t xml:space="preserve">회 </t>
    </r>
    <r>
      <rPr>
        <sz val="9"/>
        <color rgb="FF606060"/>
        <rFont val="Arial"/>
        <family val="0"/>
        <charset val="1"/>
      </rPr>
      <t xml:space="preserve">= 90</t>
    </r>
    <r>
      <rPr>
        <sz val="9"/>
        <color rgb="FF606060"/>
        <rFont val="Noto Sans CJK SC"/>
        <family val="2"/>
      </rPr>
      <t xml:space="preserve">행</t>
    </r>
    <r>
      <rPr>
        <sz val="9"/>
        <color rgb="FF606060"/>
        <rFont val="Arial"/>
        <family val="0"/>
        <charset val="1"/>
      </rPr>
      <t xml:space="preserve">. Phase 1-G </t>
    </r>
    <r>
      <rPr>
        <sz val="9"/>
        <color rgb="FF606060"/>
        <rFont val="Noto Sans CJK SC"/>
        <family val="2"/>
      </rPr>
      <t xml:space="preserve">대조군 </t>
    </r>
    <r>
      <rPr>
        <sz val="9"/>
        <color rgb="FF606060"/>
        <rFont val="Arial"/>
        <family val="0"/>
        <charset val="1"/>
      </rPr>
      <t xml:space="preserve">9</t>
    </r>
    <r>
      <rPr>
        <sz val="9"/>
        <color rgb="FF606060"/>
        <rFont val="Noto Sans CJK SC"/>
        <family val="2"/>
      </rPr>
      <t xml:space="preserve">행 추가</t>
    </r>
    <r>
      <rPr>
        <sz val="9"/>
        <color rgb="FF606060"/>
        <rFont val="Arial"/>
        <family val="0"/>
        <charset val="1"/>
      </rPr>
      <t xml:space="preserve">.</t>
    </r>
  </si>
  <si>
    <r>
      <rPr>
        <b val="true"/>
        <sz val="10"/>
        <color rgb="FFC00000"/>
        <rFont val="Noto Sans CJK SC"/>
        <family val="2"/>
      </rPr>
      <t xml:space="preserve">실패한 실험도 지우지 말고 특이사항에 이유를 적어 남기세요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</si>
  <si>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sz val="9"/>
        <color rgb="FF606060"/>
        <rFont val="Arial"/>
        <family val="0"/>
        <charset val="1"/>
      </rPr>
      <t xml:space="preserve">CSV </t>
    </r>
    <r>
      <rPr>
        <sz val="9"/>
        <color rgb="FF606060"/>
        <rFont val="Noto Sans CJK SC"/>
        <family val="2"/>
      </rPr>
      <t xml:space="preserve">파일명은 실제 파일과 정확히 일치해야 합니다</t>
    </r>
    <r>
      <rPr>
        <sz val="9"/>
        <color rgb="FF606060"/>
        <rFont val="Arial"/>
        <family val="0"/>
        <charset val="1"/>
      </rPr>
      <t xml:space="preserve">.</t>
    </r>
  </si>
  <si>
    <t xml:space="preserve">컬럼명</t>
  </si>
  <si>
    <t xml:space="preserve">필수</t>
  </si>
  <si>
    <t xml:space="preserve">설명</t>
  </si>
  <si>
    <t xml:space="preserve">t</t>
  </si>
  <si>
    <t xml:space="preserve">s</t>
  </si>
  <si>
    <r>
      <rPr>
        <sz val="9"/>
        <color rgb="FF606060"/>
        <rFont val="Noto Sans CJK SC"/>
        <family val="2"/>
      </rPr>
      <t xml:space="preserve">실험 시작 기준 경과 시간</t>
    </r>
    <r>
      <rPr>
        <sz val="9"/>
        <color rgb="FF606060"/>
        <rFont val="Arial"/>
        <family val="0"/>
        <charset val="1"/>
      </rPr>
      <t xml:space="preserve">. </t>
    </r>
    <r>
      <rPr>
        <sz val="9"/>
        <color rgb="FF606060"/>
        <rFont val="Noto Sans CJK SC"/>
        <family val="2"/>
      </rPr>
      <t xml:space="preserve">등간격 권장</t>
    </r>
  </si>
  <si>
    <t xml:space="preserve">q_cmd</t>
  </si>
  <si>
    <r>
      <rPr>
        <sz val="9"/>
        <color rgb="FF606060"/>
        <rFont val="Noto Sans CJK SC"/>
        <family val="2"/>
      </rPr>
      <t xml:space="preserve">제어기에 넣은 목표 각도</t>
    </r>
    <r>
      <rPr>
        <sz val="9"/>
        <color rgb="FF606060"/>
        <rFont val="Arial"/>
        <family val="0"/>
        <charset val="1"/>
      </rPr>
      <t xml:space="preserve">. </t>
    </r>
    <r>
      <rPr>
        <sz val="9"/>
        <color rgb="FF606060"/>
        <rFont val="Noto Sans CJK SC"/>
        <family val="2"/>
      </rPr>
      <t xml:space="preserve">제어 주기마다 전부 기록</t>
    </r>
  </si>
  <si>
    <t xml:space="preserve">q_m</t>
  </si>
  <si>
    <t xml:space="preserve">모터측 엔코더 각도</t>
  </si>
  <si>
    <t xml:space="preserve">q_link</t>
  </si>
  <si>
    <r>
      <rPr>
        <sz val="9"/>
        <color rgb="FF606060"/>
        <rFont val="Noto Sans CJK SC"/>
        <family val="2"/>
      </rPr>
      <t xml:space="preserve">링크측 </t>
    </r>
    <r>
      <rPr>
        <sz val="9"/>
        <color rgb="FF606060"/>
        <rFont val="Arial"/>
        <family val="0"/>
        <charset val="1"/>
      </rPr>
      <t xml:space="preserve">AS5600 </t>
    </r>
    <r>
      <rPr>
        <sz val="9"/>
        <color rgb="FF606060"/>
        <rFont val="Noto Sans CJK SC"/>
        <family val="2"/>
      </rPr>
      <t xml:space="preserve">각도</t>
    </r>
  </si>
  <si>
    <t xml:space="preserve">tau_cmd</t>
  </si>
  <si>
    <r>
      <rPr>
        <sz val="9"/>
        <color rgb="FF606060"/>
        <rFont val="Noto Sans CJK SC"/>
        <family val="2"/>
      </rPr>
      <t xml:space="preserve">제어기가 계산한 토크 명령 </t>
    </r>
    <r>
      <rPr>
        <sz val="9"/>
        <color rgb="FF606060"/>
        <rFont val="Arial"/>
        <family val="0"/>
        <charset val="1"/>
      </rPr>
      <t xml:space="preserve">(</t>
    </r>
    <r>
      <rPr>
        <sz val="9"/>
        <color rgb="FF606060"/>
        <rFont val="Noto Sans CJK SC"/>
        <family val="2"/>
      </rPr>
      <t xml:space="preserve">포화 적용 후</t>
    </r>
    <r>
      <rPr>
        <sz val="9"/>
        <color rgb="FF606060"/>
        <rFont val="Arial"/>
        <family val="0"/>
        <charset val="1"/>
      </rPr>
      <t xml:space="preserve">)</t>
    </r>
  </si>
  <si>
    <t xml:space="preserve">current</t>
  </si>
  <si>
    <t xml:space="preserve">A</t>
  </si>
  <si>
    <t xml:space="preserve">권장</t>
  </si>
  <si>
    <r>
      <rPr>
        <sz val="9"/>
        <color rgb="FF606060"/>
        <rFont val="Arial"/>
        <family val="0"/>
        <charset val="1"/>
      </rPr>
      <t xml:space="preserve">INA219 </t>
    </r>
    <r>
      <rPr>
        <sz val="9"/>
        <color rgb="FF606060"/>
        <rFont val="Noto Sans CJK SC"/>
        <family val="2"/>
      </rPr>
      <t xml:space="preserve">전류</t>
    </r>
    <r>
      <rPr>
        <sz val="9"/>
        <color rgb="FF606060"/>
        <rFont val="Arial"/>
        <family val="0"/>
        <charset val="1"/>
      </rPr>
      <t xml:space="preserve">. </t>
    </r>
    <r>
      <rPr>
        <sz val="9"/>
        <color rgb="FF606060"/>
        <rFont val="Noto Sans CJK SC"/>
        <family val="2"/>
      </rPr>
      <t xml:space="preserve">토크 상수 검증용</t>
    </r>
  </si>
  <si>
    <t xml:space="preserve">temp</t>
  </si>
  <si>
    <t xml:space="preserve">°C</t>
  </si>
  <si>
    <t xml:space="preserve">선택</t>
  </si>
  <si>
    <r>
      <rPr>
        <sz val="9"/>
        <color rgb="FF606060"/>
        <rFont val="Noto Sans CJK SC"/>
        <family val="2"/>
      </rPr>
      <t xml:space="preserve">모터 내부 온도</t>
    </r>
    <r>
      <rPr>
        <sz val="9"/>
        <color rgb="FF606060"/>
        <rFont val="Arial"/>
        <family val="0"/>
        <charset val="1"/>
      </rPr>
      <t xml:space="preserve">. </t>
    </r>
    <r>
      <rPr>
        <sz val="9"/>
        <color rgb="FF606060"/>
        <rFont val="Noto Sans CJK SC"/>
        <family val="2"/>
      </rPr>
      <t xml:space="preserve">읽을 수 있으면 기록</t>
    </r>
  </si>
  <si>
    <r>
      <rPr>
        <b val="true"/>
        <sz val="11"/>
        <rFont val="Arial"/>
        <family val="0"/>
        <charset val="1"/>
      </rPr>
      <t xml:space="preserve">analyze_gap.py</t>
    </r>
    <r>
      <rPr>
        <b val="true"/>
        <sz val="11"/>
        <rFont val="Noto Sans CJK SC"/>
        <family val="2"/>
      </rPr>
      <t xml:space="preserve">용 </t>
    </r>
    <r>
      <rPr>
        <b val="true"/>
        <sz val="11"/>
        <rFont val="Arial"/>
        <family val="0"/>
        <charset val="1"/>
      </rPr>
      <t xml:space="preserve">trajectories.csv </t>
    </r>
    <r>
      <rPr>
        <b val="true"/>
        <sz val="11"/>
        <rFont val="Noto Sans CJK SC"/>
        <family val="2"/>
      </rPr>
      <t xml:space="preserve">형식</t>
    </r>
  </si>
  <si>
    <t xml:space="preserve">excitation, level, trial, t, q_cmd, q_link</t>
  </si>
  <si>
    <r>
      <rPr>
        <sz val="9"/>
        <color rgb="FF606060"/>
        <rFont val="Noto Sans CJK SC"/>
        <family val="2"/>
      </rPr>
      <t xml:space="preserve">실험별 </t>
    </r>
    <r>
      <rPr>
        <sz val="9"/>
        <color rgb="FF606060"/>
        <rFont val="Arial"/>
        <family val="0"/>
        <charset val="1"/>
      </rPr>
      <t xml:space="preserve">CSV</t>
    </r>
    <r>
      <rPr>
        <sz val="9"/>
        <color rgb="FF606060"/>
        <rFont val="Noto Sans CJK SC"/>
        <family val="2"/>
      </rPr>
      <t xml:space="preserve">를 위 </t>
    </r>
    <r>
      <rPr>
        <sz val="9"/>
        <color rgb="FF606060"/>
        <rFont val="Arial"/>
        <family val="0"/>
        <charset val="1"/>
      </rPr>
      <t xml:space="preserve">6</t>
    </r>
    <r>
      <rPr>
        <sz val="9"/>
        <color rgb="FF606060"/>
        <rFont val="Noto Sans CJK SC"/>
        <family val="2"/>
      </rPr>
      <t xml:space="preserve">개 컬럼의 긴 형식</t>
    </r>
    <r>
      <rPr>
        <sz val="9"/>
        <color rgb="FF606060"/>
        <rFont val="Arial"/>
        <family val="0"/>
        <charset val="1"/>
      </rPr>
      <t xml:space="preserve">(long format) </t>
    </r>
    <r>
      <rPr>
        <sz val="9"/>
        <color rgb="FF606060"/>
        <rFont val="Noto Sans CJK SC"/>
        <family val="2"/>
      </rPr>
      <t xml:space="preserve">하나로 합쳐서 넘깁니다</t>
    </r>
    <r>
      <rPr>
        <sz val="9"/>
        <color rgb="FF606060"/>
        <rFont val="Arial"/>
        <family val="0"/>
        <charset val="1"/>
      </rPr>
      <t xml:space="preserve">.</t>
    </r>
  </si>
  <si>
    <r>
      <rPr>
        <b val="true"/>
        <sz val="10"/>
        <color rgb="FFC00000"/>
        <rFont val="Noto Sans CJK SC"/>
        <family val="2"/>
      </rPr>
      <t xml:space="preserve">샘플링 주기와 시뮬 적분 주기는 별개입니다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</si>
  <si>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sz val="9"/>
        <color rgb="FF606060"/>
        <rFont val="Arial"/>
        <family val="0"/>
        <charset val="1"/>
      </rPr>
      <t xml:space="preserve">200Hz</t>
    </r>
    <r>
      <rPr>
        <sz val="9"/>
        <color rgb="FF606060"/>
        <rFont val="Noto Sans CJK SC"/>
        <family val="2"/>
      </rPr>
      <t xml:space="preserve">로 기록했다고 시뮬을 </t>
    </r>
    <r>
      <rPr>
        <sz val="9"/>
        <color rgb="FF606060"/>
        <rFont val="Arial"/>
        <family val="0"/>
        <charset val="1"/>
      </rPr>
      <t xml:space="preserve">5ms</t>
    </r>
    <r>
      <rPr>
        <sz val="9"/>
        <color rgb="FF606060"/>
        <rFont val="Noto Sans CJK SC"/>
        <family val="2"/>
      </rPr>
      <t xml:space="preserve">로 돌리면 적분 오차가 물리 오차로 둔갑합니다</t>
    </r>
    <r>
      <rPr>
        <sz val="9"/>
        <color rgb="FF606060"/>
        <rFont val="Arial"/>
        <family val="0"/>
        <charset val="1"/>
      </rPr>
      <t xml:space="preserve">.</t>
    </r>
  </si>
  <si>
    <r>
      <rPr>
        <sz val="9"/>
        <color rgb="FF606060"/>
        <rFont val="Arial"/>
        <family val="0"/>
        <charset val="1"/>
      </rPr>
      <t xml:space="preserve">analyze_gap.py</t>
    </r>
    <r>
      <rPr>
        <sz val="9"/>
        <color rgb="FF606060"/>
        <rFont val="Noto Sans CJK SC"/>
        <family val="2"/>
      </rPr>
      <t xml:space="preserve">는 내부적으로 </t>
    </r>
    <r>
      <rPr>
        <sz val="9"/>
        <color rgb="FF606060"/>
        <rFont val="Arial"/>
        <family val="0"/>
        <charset val="1"/>
      </rPr>
      <t xml:space="preserve">1ms </t>
    </r>
    <r>
      <rPr>
        <sz val="9"/>
        <color rgb="FF606060"/>
        <rFont val="Noto Sans CJK SC"/>
        <family val="2"/>
      </rPr>
      <t xml:space="preserve">이하로 쪼개 돌리고 기록 시점에만 값을 꺼냅니다</t>
    </r>
    <r>
      <rPr>
        <sz val="9"/>
        <color rgb="FF60606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</si>
</sst>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C00000"/>
      <name val="Noto Sans CJK SC"/>
      <family val="2"/>
    </font>
    <font>
      <sz val="9"/>
      <color rgb="FF606060"/>
      <name val="Noto Sans CJK SC"/>
      <family val="2"/>
    </font>
    <font>
      <sz val="9"/>
      <color rgb="FF606060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0000FF"/>
      <name val="Arial"/>
      <family val="0"/>
      <charset val="1"/>
    </font>
    <font>
      <i val="true"/>
      <sz val="10"/>
      <color rgb="FF808080"/>
      <name val="Noto Sans CJK SC"/>
      <family val="2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4858"/>
        <bgColor rgb="FF333399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4"/>
  </cols>
  <sheetData>
    <row r="2" customFormat="false" ht="21.6" hidden="false" customHeight="false" outlineLevel="0" collapsed="false">
      <c r="B2" s="1" t="s">
        <v>0</v>
      </c>
    </row>
    <row r="4" customFormat="false" ht="17.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9" customFormat="false" ht="17.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8" customFormat="false" ht="17.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5" t="s">
        <v>14</v>
      </c>
    </row>
    <row r="20" customFormat="false" ht="15" hidden="false" customHeight="false" outlineLevel="0" collapsed="false">
      <c r="B20" s="6" t="s">
        <v>15</v>
      </c>
    </row>
    <row r="21" customFormat="false" ht="15" hidden="false" customHeight="false" outlineLevel="0" collapsed="false">
      <c r="B21" s="6" t="s">
        <v>16</v>
      </c>
    </row>
    <row r="22" customFormat="false" ht="15" hidden="false" customHeight="false" outlineLevel="0" collapsed="false">
      <c r="B22" s="5" t="s">
        <v>17</v>
      </c>
    </row>
    <row r="23" customFormat="false" ht="15" hidden="false" customHeight="false" outlineLevel="0" collapsed="false">
      <c r="B23" s="6" t="s">
        <v>18</v>
      </c>
    </row>
    <row r="24" customFormat="false" ht="15" hidden="false" customHeight="false" outlineLevel="0" collapsed="false">
      <c r="B24" s="5" t="s">
        <v>19</v>
      </c>
    </row>
    <row r="26" customFormat="false" ht="17.15" hidden="false" customHeight="false" outlineLevel="0" collapsed="false">
      <c r="B26" s="2" t="s">
        <v>20</v>
      </c>
    </row>
    <row r="27" customFormat="false" ht="15" hidden="false" customHeight="false" outlineLevel="0" collapsed="false">
      <c r="B27" s="3" t="s">
        <v>21</v>
      </c>
    </row>
    <row r="28" customFormat="false" ht="15" hidden="false" customHeight="false" outlineLevel="0" collapsed="false">
      <c r="B28" s="3" t="s">
        <v>22</v>
      </c>
    </row>
    <row r="29" customFormat="false" ht="15" hidden="false" customHeight="false" outlineLevel="0" collapsed="false">
      <c r="B29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6"/>
  </cols>
  <sheetData>
    <row r="1" customFormat="false" ht="27.75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</row>
    <row r="2" customFormat="false" ht="15" hidden="false" customHeight="false" outlineLevel="0" collapsed="false">
      <c r="A2" s="8" t="s">
        <v>28</v>
      </c>
      <c r="B2" s="9" t="n">
        <v>0.15</v>
      </c>
      <c r="C2" s="10" t="s">
        <v>29</v>
      </c>
      <c r="D2" s="11" t="s">
        <v>30</v>
      </c>
    </row>
    <row r="3" customFormat="false" ht="15" hidden="false" customHeight="false" outlineLevel="0" collapsed="false">
      <c r="A3" s="8" t="s">
        <v>31</v>
      </c>
      <c r="B3" s="9"/>
      <c r="C3" s="10" t="s">
        <v>32</v>
      </c>
      <c r="D3" s="12" t="s">
        <v>33</v>
      </c>
    </row>
    <row r="4" customFormat="false" ht="15" hidden="false" customHeight="false" outlineLevel="0" collapsed="false">
      <c r="A4" s="8" t="s">
        <v>34</v>
      </c>
      <c r="B4" s="9"/>
      <c r="C4" s="10" t="s">
        <v>32</v>
      </c>
      <c r="D4" s="12" t="s">
        <v>35</v>
      </c>
    </row>
    <row r="5" customFormat="false" ht="15" hidden="false" customHeight="false" outlineLevel="0" collapsed="false">
      <c r="A5" s="8" t="s">
        <v>36</v>
      </c>
      <c r="B5" s="9"/>
      <c r="C5" s="10" t="s">
        <v>29</v>
      </c>
      <c r="D5" s="12" t="s">
        <v>37</v>
      </c>
    </row>
    <row r="6" customFormat="false" ht="15" hidden="false" customHeight="false" outlineLevel="0" collapsed="false">
      <c r="A6" s="8" t="s">
        <v>38</v>
      </c>
      <c r="B6" s="9"/>
      <c r="C6" s="10" t="s">
        <v>39</v>
      </c>
      <c r="D6" s="13" t="s">
        <v>40</v>
      </c>
    </row>
    <row r="7" customFormat="false" ht="15" hidden="false" customHeight="false" outlineLevel="0" collapsed="false">
      <c r="A7" s="10" t="s">
        <v>41</v>
      </c>
      <c r="B7" s="9"/>
      <c r="C7" s="10" t="s">
        <v>39</v>
      </c>
      <c r="D7" s="13" t="s">
        <v>42</v>
      </c>
    </row>
    <row r="8" customFormat="false" ht="15" hidden="false" customHeight="false" outlineLevel="0" collapsed="false">
      <c r="A8" s="8" t="s">
        <v>43</v>
      </c>
      <c r="B8" s="9" t="s">
        <v>44</v>
      </c>
      <c r="C8" s="8"/>
      <c r="D8" s="13" t="s">
        <v>45</v>
      </c>
    </row>
    <row r="9" customFormat="false" ht="15" hidden="false" customHeight="false" outlineLevel="0" collapsed="false">
      <c r="A9" s="8" t="s">
        <v>46</v>
      </c>
      <c r="B9" s="9" t="n">
        <v>1.5</v>
      </c>
      <c r="C9" s="10" t="s">
        <v>47</v>
      </c>
      <c r="D9" s="12" t="s">
        <v>48</v>
      </c>
    </row>
    <row r="10" customFormat="false" ht="15" hidden="false" customHeight="false" outlineLevel="0" collapsed="false">
      <c r="A10" s="8" t="s">
        <v>49</v>
      </c>
      <c r="B10" s="9" t="n">
        <v>258.5</v>
      </c>
      <c r="C10" s="8"/>
      <c r="D10" s="12" t="s">
        <v>50</v>
      </c>
    </row>
    <row r="11" customFormat="false" ht="15" hidden="false" customHeight="false" outlineLevel="0" collapsed="false">
      <c r="A11" s="8" t="s">
        <v>51</v>
      </c>
      <c r="B11" s="9" t="n">
        <v>1000</v>
      </c>
      <c r="C11" s="10" t="s">
        <v>52</v>
      </c>
      <c r="D11" s="12" t="s">
        <v>53</v>
      </c>
    </row>
    <row r="12" customFormat="false" ht="15" hidden="false" customHeight="false" outlineLevel="0" collapsed="false">
      <c r="A12" s="10" t="s">
        <v>54</v>
      </c>
      <c r="B12" s="9" t="n">
        <v>1000</v>
      </c>
      <c r="C12" s="10" t="s">
        <v>52</v>
      </c>
      <c r="D12" s="13" t="s">
        <v>55</v>
      </c>
    </row>
    <row r="14" customFormat="false" ht="15" hidden="false" customHeight="false" outlineLevel="0" collapsed="false">
      <c r="A14" s="14" t="s">
        <v>56</v>
      </c>
    </row>
    <row r="15" customFormat="false" ht="15" hidden="false" customHeight="false" outlineLevel="0" collapsed="false">
      <c r="A15" s="15" t="s">
        <v>57</v>
      </c>
      <c r="B15" s="8" t="n">
        <f aca="false">(B3*B5+B4*B2)*9.81</f>
        <v>0</v>
      </c>
      <c r="C15" s="10" t="s">
        <v>47</v>
      </c>
      <c r="D15" s="1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27.75" hidden="false" customHeight="true" outlineLevel="0" collapsed="false">
      <c r="A1" s="7" t="s">
        <v>24</v>
      </c>
      <c r="B1" s="7" t="s">
        <v>59</v>
      </c>
      <c r="C1" s="7" t="s">
        <v>60</v>
      </c>
    </row>
    <row r="2" customFormat="false" ht="15" hidden="false" customHeight="false" outlineLevel="0" collapsed="false">
      <c r="A2" s="8" t="s">
        <v>61</v>
      </c>
      <c r="B2" s="9"/>
      <c r="C2" s="16" t="s">
        <v>62</v>
      </c>
    </row>
    <row r="3" customFormat="false" ht="15" hidden="false" customHeight="false" outlineLevel="0" collapsed="false">
      <c r="A3" s="8" t="s">
        <v>63</v>
      </c>
      <c r="B3" s="9"/>
      <c r="C3" s="16" t="s">
        <v>64</v>
      </c>
    </row>
    <row r="4" customFormat="false" ht="15" hidden="false" customHeight="false" outlineLevel="0" collapsed="false">
      <c r="A4" s="8" t="s">
        <v>65</v>
      </c>
      <c r="B4" s="9"/>
      <c r="C4" s="16" t="s">
        <v>66</v>
      </c>
    </row>
    <row r="5" customFormat="false" ht="15" hidden="false" customHeight="false" outlineLevel="0" collapsed="false">
      <c r="A5" s="8" t="s">
        <v>67</v>
      </c>
      <c r="B5" s="9"/>
      <c r="C5" s="17" t="s">
        <v>68</v>
      </c>
    </row>
    <row r="6" customFormat="false" ht="15" hidden="false" customHeight="false" outlineLevel="0" collapsed="false">
      <c r="A6" s="8" t="s">
        <v>69</v>
      </c>
      <c r="B6" s="9"/>
      <c r="C6" s="16" t="s">
        <v>70</v>
      </c>
    </row>
    <row r="8" customFormat="false" ht="15" hidden="false" customHeight="false" outlineLevel="0" collapsed="false">
      <c r="A8" s="18" t="s">
        <v>71</v>
      </c>
    </row>
    <row r="9" customFormat="false" ht="15" hidden="false" customHeight="false" outlineLevel="0" collapsed="false">
      <c r="A9" s="14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7" t="s">
        <v>73</v>
      </c>
      <c r="B1" s="7" t="s">
        <v>74</v>
      </c>
      <c r="C1" s="7" t="s">
        <v>75</v>
      </c>
      <c r="D1" s="7" t="s">
        <v>76</v>
      </c>
      <c r="E1" s="7" t="s">
        <v>77</v>
      </c>
      <c r="F1" s="7" t="s">
        <v>78</v>
      </c>
      <c r="G1" s="7" t="s">
        <v>79</v>
      </c>
      <c r="H1" s="7" t="s">
        <v>27</v>
      </c>
    </row>
    <row r="2" customFormat="false" ht="15" hidden="false" customHeight="false" outlineLevel="0" collapsed="false">
      <c r="A2" s="10" t="s">
        <v>80</v>
      </c>
      <c r="B2" s="9" t="s">
        <v>81</v>
      </c>
      <c r="C2" s="9" t="n">
        <v>20</v>
      </c>
      <c r="D2" s="9" t="n">
        <v>1.39</v>
      </c>
      <c r="E2" s="8" t="n">
        <f aca="false">2*D2*1000*(C2/1000)^2</f>
        <v>1.112</v>
      </c>
      <c r="F2" s="9"/>
      <c r="G2" s="8" t="n">
        <f aca="false">IF(F2="",E2,F2)*0.1396</f>
        <v>0.1552352</v>
      </c>
      <c r="H2" s="12" t="s">
        <v>82</v>
      </c>
    </row>
    <row r="3" customFormat="false" ht="15" hidden="false" customHeight="false" outlineLevel="0" collapsed="false">
      <c r="A3" s="10" t="s">
        <v>83</v>
      </c>
      <c r="B3" s="9" t="s">
        <v>81</v>
      </c>
      <c r="C3" s="9" t="n">
        <v>30</v>
      </c>
      <c r="D3" s="9" t="n">
        <v>1.39</v>
      </c>
      <c r="E3" s="8" t="n">
        <f aca="false">2*D3*1000*(C3/1000)^2</f>
        <v>2.502</v>
      </c>
      <c r="F3" s="9"/>
      <c r="G3" s="8" t="n">
        <f aca="false">IF(F3="",E3,F3)*0.1396</f>
        <v>0.3492792</v>
      </c>
      <c r="H3" s="12" t="s">
        <v>82</v>
      </c>
    </row>
    <row r="4" customFormat="false" ht="15" hidden="false" customHeight="false" outlineLevel="0" collapsed="false">
      <c r="A4" s="10" t="s">
        <v>84</v>
      </c>
      <c r="B4" s="9" t="s">
        <v>85</v>
      </c>
      <c r="C4" s="9" t="n">
        <v>25</v>
      </c>
      <c r="D4" s="9" t="n">
        <v>4.27</v>
      </c>
      <c r="E4" s="8" t="n">
        <f aca="false">2*D4*1000*(C4/1000)^2</f>
        <v>5.3375</v>
      </c>
      <c r="F4" s="9"/>
      <c r="G4" s="8" t="n">
        <f aca="false">IF(F4="",E4,F4)*0.1396</f>
        <v>0.745115</v>
      </c>
      <c r="H4" s="12" t="s">
        <v>82</v>
      </c>
    </row>
    <row r="6" customFormat="false" ht="17.15" hidden="false" customHeight="false" outlineLevel="0" collapsed="false">
      <c r="A6" s="15" t="s">
        <v>86</v>
      </c>
      <c r="B6" s="8" t="str">
        <f aca="false">IF(COUNT(F2:F4)&lt;3,"",MAX(ABS(F2/E2-1),ABS(F3/E3-1),ABS(F4/E4-1))*100)</f>
        <v/>
      </c>
      <c r="C6" s="10" t="s">
        <v>87</v>
      </c>
      <c r="D6" s="19" t="s">
        <v>88</v>
      </c>
    </row>
    <row r="8" customFormat="false" ht="15" hidden="false" customHeight="false" outlineLevel="0" collapsed="false">
      <c r="A8" s="20" t="s">
        <v>89</v>
      </c>
    </row>
    <row r="9" customFormat="false" ht="15" hidden="false" customHeight="false" outlineLevel="0" collapsed="false">
      <c r="A9" s="21" t="s">
        <v>90</v>
      </c>
    </row>
    <row r="10" customFormat="false" ht="15" hidden="false" customHeight="false" outlineLevel="0" collapsed="false">
      <c r="A10" s="21" t="s">
        <v>91</v>
      </c>
    </row>
    <row r="11" customFormat="false" ht="15" hidden="false" customHeight="false" outlineLevel="0" collapsed="false">
      <c r="A11" s="21" t="s">
        <v>92</v>
      </c>
    </row>
    <row r="12" customFormat="false" ht="15" hidden="false" customHeight="false" outlineLevel="0" collapsed="false">
      <c r="A12" s="21" t="s">
        <v>93</v>
      </c>
    </row>
    <row r="13" customFormat="false" ht="15" hidden="false" customHeight="false" outlineLevel="0" collapsed="false">
      <c r="A13" s="14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0"/>
  </cols>
  <sheetData>
    <row r="1" customFormat="false" ht="27.75" hidden="false" customHeight="true" outlineLevel="0" collapsed="false">
      <c r="A1" s="7" t="s">
        <v>24</v>
      </c>
      <c r="B1" s="7" t="s">
        <v>95</v>
      </c>
      <c r="C1" s="7" t="s">
        <v>26</v>
      </c>
      <c r="D1" s="7" t="s">
        <v>96</v>
      </c>
    </row>
    <row r="2" customFormat="false" ht="30" hidden="false" customHeight="true" outlineLevel="0" collapsed="false">
      <c r="A2" s="8" t="s">
        <v>97</v>
      </c>
      <c r="B2" s="9"/>
      <c r="C2" s="10" t="s">
        <v>98</v>
      </c>
      <c r="D2" s="16" t="s">
        <v>99</v>
      </c>
    </row>
    <row r="3" customFormat="false" ht="30" hidden="false" customHeight="true" outlineLevel="0" collapsed="false">
      <c r="A3" s="8" t="s">
        <v>100</v>
      </c>
      <c r="B3" s="9"/>
      <c r="C3" s="10" t="s">
        <v>98</v>
      </c>
      <c r="D3" s="16" t="s">
        <v>101</v>
      </c>
    </row>
    <row r="4" customFormat="false" ht="30" hidden="false" customHeight="true" outlineLevel="0" collapsed="false">
      <c r="A4" s="8" t="s">
        <v>102</v>
      </c>
      <c r="B4" s="9"/>
      <c r="C4" s="10" t="s">
        <v>103</v>
      </c>
      <c r="D4" s="16" t="s">
        <v>104</v>
      </c>
    </row>
    <row r="5" customFormat="false" ht="30" hidden="false" customHeight="true" outlineLevel="0" collapsed="false">
      <c r="A5" s="8" t="s">
        <v>105</v>
      </c>
      <c r="B5" s="9"/>
      <c r="C5" s="10" t="s">
        <v>87</v>
      </c>
      <c r="D5" s="17" t="s">
        <v>106</v>
      </c>
    </row>
    <row r="6" customFormat="false" ht="30" hidden="false" customHeight="true" outlineLevel="0" collapsed="false">
      <c r="A6" s="8" t="s">
        <v>107</v>
      </c>
      <c r="B6" s="9"/>
      <c r="C6" s="10" t="s">
        <v>108</v>
      </c>
      <c r="D6" s="16" t="s">
        <v>109</v>
      </c>
    </row>
    <row r="7" customFormat="false" ht="30" hidden="false" customHeight="true" outlineLevel="0" collapsed="false">
      <c r="A7" s="10" t="s">
        <v>110</v>
      </c>
      <c r="B7" s="9"/>
      <c r="C7" s="10" t="s">
        <v>47</v>
      </c>
      <c r="D7" s="16" t="s">
        <v>111</v>
      </c>
    </row>
    <row r="8" customFormat="false" ht="30" hidden="false" customHeight="true" outlineLevel="0" collapsed="false">
      <c r="A8" s="8" t="s">
        <v>112</v>
      </c>
      <c r="B8" s="9"/>
      <c r="C8" s="8"/>
      <c r="D8" s="16" t="s">
        <v>113</v>
      </c>
    </row>
    <row r="10" customFormat="false" ht="15" hidden="false" customHeight="false" outlineLevel="0" collapsed="false">
      <c r="A10" s="18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1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22" t="s">
        <v>115</v>
      </c>
      <c r="B1" s="22" t="s">
        <v>116</v>
      </c>
      <c r="C1" s="22" t="s">
        <v>117</v>
      </c>
      <c r="D1" s="22" t="s">
        <v>118</v>
      </c>
      <c r="E1" s="22" t="s">
        <v>119</v>
      </c>
      <c r="F1" s="22" t="s">
        <v>120</v>
      </c>
      <c r="G1" s="22" t="s">
        <v>121</v>
      </c>
      <c r="H1" s="7" t="s">
        <v>122</v>
      </c>
    </row>
    <row r="2" customFormat="false" ht="15" hidden="false" customHeight="false" outlineLevel="0" collapsed="false">
      <c r="A2" s="15" t="s">
        <v>26</v>
      </c>
      <c r="B2" s="13" t="s">
        <v>123</v>
      </c>
      <c r="C2" s="13" t="s">
        <v>124</v>
      </c>
      <c r="D2" s="13" t="s">
        <v>125</v>
      </c>
      <c r="E2" s="13" t="s">
        <v>47</v>
      </c>
      <c r="F2" s="13" t="s">
        <v>125</v>
      </c>
      <c r="G2" s="12" t="s">
        <v>126</v>
      </c>
      <c r="H2" s="13" t="s">
        <v>127</v>
      </c>
    </row>
    <row r="3" customFormat="false" ht="15" hidden="false" customHeight="false" outlineLevel="0" collapsed="false">
      <c r="A3" s="10" t="s">
        <v>80</v>
      </c>
      <c r="B3" s="8" t="n">
        <f aca="false">IF(3_강성조건!F2="",3_강성조건!E2,3_강성조건!F2)</f>
        <v>1.112</v>
      </c>
      <c r="C3" s="9"/>
      <c r="D3" s="9"/>
      <c r="E3" s="9"/>
      <c r="F3" s="9"/>
      <c r="G3" s="9"/>
      <c r="H3" s="12"/>
    </row>
    <row r="4" customFormat="false" ht="15" hidden="false" customHeight="false" outlineLevel="0" collapsed="false">
      <c r="A4" s="10" t="s">
        <v>83</v>
      </c>
      <c r="B4" s="8" t="n">
        <f aca="false">IF(3_강성조건!F3="",3_강성조건!E3,3_강성조건!F3)</f>
        <v>2.502</v>
      </c>
      <c r="C4" s="9"/>
      <c r="D4" s="9"/>
      <c r="E4" s="9"/>
      <c r="F4" s="9"/>
      <c r="G4" s="9"/>
      <c r="H4" s="12"/>
    </row>
    <row r="5" customFormat="false" ht="15" hidden="false" customHeight="false" outlineLevel="0" collapsed="false">
      <c r="A5" s="10" t="s">
        <v>84</v>
      </c>
      <c r="B5" s="8" t="n">
        <f aca="false">IF(3_강성조건!F4="",3_강성조건!E4,3_강성조건!F4)</f>
        <v>5.3375</v>
      </c>
      <c r="C5" s="9"/>
      <c r="D5" s="9"/>
      <c r="E5" s="9"/>
      <c r="F5" s="9"/>
      <c r="G5" s="9"/>
      <c r="H5" s="12"/>
    </row>
    <row r="7" customFormat="false" ht="15" hidden="false" customHeight="false" outlineLevel="0" collapsed="false">
      <c r="A7" s="11" t="s">
        <v>128</v>
      </c>
      <c r="B7" s="11" t="n">
        <v>1.11</v>
      </c>
      <c r="C7" s="11" t="n">
        <v>0.00031</v>
      </c>
      <c r="D7" s="11" t="n">
        <v>0.031</v>
      </c>
      <c r="E7" s="11" t="n">
        <v>0.048</v>
      </c>
      <c r="F7" s="11" t="n">
        <v>0.0034</v>
      </c>
      <c r="G7" s="11" t="n">
        <v>1.12</v>
      </c>
      <c r="H7" s="11" t="s">
        <v>129</v>
      </c>
    </row>
    <row r="9" customFormat="false" ht="15" hidden="false" customHeight="false" outlineLevel="0" collapsed="false">
      <c r="A9" s="14" t="s">
        <v>130</v>
      </c>
    </row>
    <row r="10" customFormat="false" ht="15" hidden="false" customHeight="false" outlineLevel="0" collapsed="false">
      <c r="A10" s="18" t="s">
        <v>131</v>
      </c>
    </row>
    <row r="11" customFormat="false" ht="15" hidden="false" customHeight="false" outlineLevel="0" collapsed="false">
      <c r="A11" s="2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26"/>
  </cols>
  <sheetData>
    <row r="1" customFormat="false" ht="27.75" hidden="false" customHeight="true" outlineLevel="0" collapsed="false">
      <c r="A1" s="7" t="s">
        <v>133</v>
      </c>
      <c r="B1" s="22" t="s">
        <v>134</v>
      </c>
      <c r="C1" s="22" t="s">
        <v>115</v>
      </c>
      <c r="D1" s="22" t="s">
        <v>135</v>
      </c>
      <c r="E1" s="7" t="s">
        <v>136</v>
      </c>
      <c r="F1" s="7" t="s">
        <v>137</v>
      </c>
      <c r="G1" s="22" t="s">
        <v>138</v>
      </c>
      <c r="H1" s="7" t="s">
        <v>139</v>
      </c>
      <c r="I1" s="7" t="s">
        <v>140</v>
      </c>
      <c r="J1" s="7" t="s">
        <v>141</v>
      </c>
    </row>
    <row r="2" customFormat="false" ht="15" hidden="false" customHeight="false" outlineLevel="0" collapsed="false">
      <c r="A2" s="23" t="s">
        <v>142</v>
      </c>
      <c r="B2" s="23" t="s">
        <v>143</v>
      </c>
      <c r="C2" s="23" t="s">
        <v>80</v>
      </c>
      <c r="D2" s="11" t="n">
        <v>1</v>
      </c>
      <c r="E2" s="11" t="n">
        <v>8</v>
      </c>
      <c r="F2" s="11" t="n">
        <v>0.16</v>
      </c>
      <c r="G2" s="23" t="s">
        <v>144</v>
      </c>
      <c r="H2" s="11" t="n">
        <v>24</v>
      </c>
      <c r="I2" s="11" t="n">
        <v>31</v>
      </c>
      <c r="J2" s="11" t="s">
        <v>145</v>
      </c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</row>
    <row r="34" customFormat="false" ht="15" hidden="false" customHeight="false" outlineLevel="0" collapsed="false">
      <c r="A34" s="21" t="s">
        <v>146</v>
      </c>
    </row>
    <row r="35" customFormat="false" ht="15" hidden="false" customHeight="false" outlineLevel="0" collapsed="false">
      <c r="A35" s="18" t="s">
        <v>147</v>
      </c>
    </row>
    <row r="36" customFormat="false" ht="15" hidden="false" customHeight="false" outlineLevel="0" collapsed="false">
      <c r="A36" s="21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58"/>
  </cols>
  <sheetData>
    <row r="1" customFormat="false" ht="27.75" hidden="false" customHeight="true" outlineLevel="0" collapsed="false">
      <c r="A1" s="7" t="s">
        <v>149</v>
      </c>
      <c r="B1" s="7" t="s">
        <v>26</v>
      </c>
      <c r="C1" s="7" t="s">
        <v>150</v>
      </c>
      <c r="D1" s="7" t="s">
        <v>151</v>
      </c>
    </row>
    <row r="2" customFormat="false" ht="15" hidden="false" customHeight="false" outlineLevel="0" collapsed="false">
      <c r="A2" s="10" t="s">
        <v>152</v>
      </c>
      <c r="B2" s="10" t="s">
        <v>153</v>
      </c>
      <c r="C2" s="19" t="s">
        <v>150</v>
      </c>
      <c r="D2" s="16" t="s">
        <v>154</v>
      </c>
    </row>
    <row r="3" customFormat="false" ht="15" hidden="false" customHeight="false" outlineLevel="0" collapsed="false">
      <c r="A3" s="10" t="s">
        <v>155</v>
      </c>
      <c r="B3" s="10" t="s">
        <v>98</v>
      </c>
      <c r="C3" s="19" t="s">
        <v>150</v>
      </c>
      <c r="D3" s="16" t="s">
        <v>156</v>
      </c>
    </row>
    <row r="4" customFormat="false" ht="15" hidden="false" customHeight="false" outlineLevel="0" collapsed="false">
      <c r="A4" s="10" t="s">
        <v>157</v>
      </c>
      <c r="B4" s="10" t="s">
        <v>98</v>
      </c>
      <c r="C4" s="19" t="s">
        <v>150</v>
      </c>
      <c r="D4" s="16" t="s">
        <v>158</v>
      </c>
    </row>
    <row r="5" customFormat="false" ht="15" hidden="false" customHeight="false" outlineLevel="0" collapsed="false">
      <c r="A5" s="10" t="s">
        <v>159</v>
      </c>
      <c r="B5" s="10" t="s">
        <v>98</v>
      </c>
      <c r="C5" s="19" t="s">
        <v>150</v>
      </c>
      <c r="D5" s="16" t="s">
        <v>160</v>
      </c>
    </row>
    <row r="6" customFormat="false" ht="15" hidden="false" customHeight="false" outlineLevel="0" collapsed="false">
      <c r="A6" s="10" t="s">
        <v>161</v>
      </c>
      <c r="B6" s="10" t="s">
        <v>47</v>
      </c>
      <c r="C6" s="19" t="s">
        <v>150</v>
      </c>
      <c r="D6" s="16" t="s">
        <v>162</v>
      </c>
    </row>
    <row r="7" customFormat="false" ht="15" hidden="false" customHeight="false" outlineLevel="0" collapsed="false">
      <c r="A7" s="10" t="s">
        <v>163</v>
      </c>
      <c r="B7" s="10" t="s">
        <v>164</v>
      </c>
      <c r="C7" s="12" t="s">
        <v>165</v>
      </c>
      <c r="D7" s="17" t="s">
        <v>166</v>
      </c>
    </row>
    <row r="8" customFormat="false" ht="15" hidden="false" customHeight="false" outlineLevel="0" collapsed="false">
      <c r="A8" s="10" t="s">
        <v>167</v>
      </c>
      <c r="B8" s="10" t="s">
        <v>168</v>
      </c>
      <c r="C8" s="12" t="s">
        <v>169</v>
      </c>
      <c r="D8" s="16" t="s">
        <v>170</v>
      </c>
    </row>
    <row r="11" customFormat="false" ht="17.15" hidden="false" customHeight="false" outlineLevel="0" collapsed="false">
      <c r="A11" s="24" t="s">
        <v>171</v>
      </c>
    </row>
    <row r="12" customFormat="false" ht="15" hidden="false" customHeight="false" outlineLevel="0" collapsed="false">
      <c r="A12" s="25" t="s">
        <v>172</v>
      </c>
    </row>
    <row r="13" customFormat="false" ht="15" hidden="false" customHeight="false" outlineLevel="0" collapsed="false">
      <c r="A13" s="14" t="s">
        <v>173</v>
      </c>
    </row>
    <row r="15" customFormat="false" ht="15" hidden="false" customHeight="false" outlineLevel="0" collapsed="false">
      <c r="A15" s="18" t="s">
        <v>174</v>
      </c>
    </row>
    <row r="16" customFormat="false" ht="15" hidden="false" customHeight="false" outlineLevel="0" collapsed="false">
      <c r="A16" s="21" t="s">
        <v>175</v>
      </c>
    </row>
    <row r="17" customFormat="false" ht="15" hidden="false" customHeight="false" outlineLevel="0" collapsed="false">
      <c r="A17" s="21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2026-09-09T04:55:22Z</dcterms:created>
  <dc:creator>openpyxl</dc:creator>
  <dc:description/>
  <dc:language>en-US</dc:language>
  <cp:lastModifiedBy/>
  <dcterms:modified xsi:type="dcterms:W3CDTF">2026-09-09T04:55:22Z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